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elshimin/Downloads/"/>
    </mc:Choice>
  </mc:AlternateContent>
  <xr:revisionPtr revIDLastSave="0" documentId="13_ncr:1_{217E3344-CFC7-6647-9378-C5697BE9F384}" xr6:coauthVersionLast="47" xr6:coauthVersionMax="47" xr10:uidLastSave="{00000000-0000-0000-0000-000000000000}"/>
  <bookViews>
    <workbookView xWindow="0" yWindow="760" windowWidth="34560" windowHeight="19440" activeTab="7" xr2:uid="{00000000-000D-0000-FFFF-FFFF00000000}"/>
  </bookViews>
  <sheets>
    <sheet name="2023-24" sheetId="1" r:id="rId1"/>
    <sheet name="2024-25" sheetId="2" r:id="rId2"/>
    <sheet name="2025-26" sheetId="3" r:id="rId3"/>
    <sheet name="2026-27" sheetId="4" r:id="rId4"/>
    <sheet name="2027-28" sheetId="5" r:id="rId5"/>
    <sheet name="Все сезоны" sheetId="6" r:id="rId6"/>
    <sheet name="Примечания" sheetId="7" r:id="rId7"/>
    <sheet name="За всю карьеру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6" i="8" l="1"/>
  <c r="G86" i="8"/>
  <c r="F86" i="8"/>
  <c r="H86" i="8" s="1"/>
  <c r="E86" i="8"/>
  <c r="B86" i="8"/>
  <c r="I85" i="8"/>
  <c r="G85" i="8"/>
  <c r="F85" i="8"/>
  <c r="H85" i="8" s="1"/>
  <c r="E85" i="8"/>
  <c r="B85" i="8"/>
  <c r="I84" i="8"/>
  <c r="G84" i="8"/>
  <c r="F84" i="8"/>
  <c r="H84" i="8" s="1"/>
  <c r="E84" i="8"/>
  <c r="B84" i="8"/>
  <c r="I83" i="8"/>
  <c r="G83" i="8"/>
  <c r="F83" i="8"/>
  <c r="H83" i="8" s="1"/>
  <c r="E83" i="8"/>
  <c r="B83" i="8"/>
  <c r="I82" i="8"/>
  <c r="G82" i="8"/>
  <c r="F82" i="8"/>
  <c r="H82" i="8" s="1"/>
  <c r="E82" i="8"/>
  <c r="B82" i="8"/>
  <c r="I81" i="8"/>
  <c r="G81" i="8"/>
  <c r="F81" i="8"/>
  <c r="H81" i="8" s="1"/>
  <c r="E81" i="8"/>
  <c r="B81" i="8"/>
  <c r="I80" i="8"/>
  <c r="G80" i="8"/>
  <c r="F80" i="8"/>
  <c r="H80" i="8" s="1"/>
  <c r="E80" i="8"/>
  <c r="B80" i="8"/>
  <c r="I79" i="8"/>
  <c r="G79" i="8"/>
  <c r="F79" i="8"/>
  <c r="H79" i="8" s="1"/>
  <c r="E79" i="8"/>
  <c r="B79" i="8"/>
  <c r="I78" i="8"/>
  <c r="G78" i="8"/>
  <c r="F78" i="8"/>
  <c r="H78" i="8" s="1"/>
  <c r="E78" i="8"/>
  <c r="B78" i="8"/>
  <c r="I77" i="8"/>
  <c r="G77" i="8"/>
  <c r="F77" i="8"/>
  <c r="H77" i="8" s="1"/>
  <c r="E77" i="8"/>
  <c r="B77" i="8"/>
  <c r="I76" i="8"/>
  <c r="G76" i="8"/>
  <c r="F76" i="8"/>
  <c r="H76" i="8" s="1"/>
  <c r="E76" i="8"/>
  <c r="B76" i="8"/>
  <c r="I75" i="8"/>
  <c r="G75" i="8"/>
  <c r="F75" i="8"/>
  <c r="H75" i="8" s="1"/>
  <c r="E75" i="8"/>
  <c r="B75" i="8"/>
  <c r="I74" i="8"/>
  <c r="G74" i="8"/>
  <c r="F74" i="8"/>
  <c r="H74" i="8" s="1"/>
  <c r="E74" i="8"/>
  <c r="B74" i="8"/>
  <c r="I73" i="8"/>
  <c r="G73" i="8"/>
  <c r="F73" i="8"/>
  <c r="H73" i="8" s="1"/>
  <c r="E73" i="8"/>
  <c r="B73" i="8"/>
  <c r="I72" i="8"/>
  <c r="G72" i="8"/>
  <c r="F72" i="8"/>
  <c r="H72" i="8" s="1"/>
  <c r="E72" i="8"/>
  <c r="B72" i="8"/>
  <c r="I71" i="8"/>
  <c r="G71" i="8"/>
  <c r="F71" i="8"/>
  <c r="H71" i="8" s="1"/>
  <c r="E71" i="8"/>
  <c r="B71" i="8"/>
  <c r="I70" i="8"/>
  <c r="G70" i="8"/>
  <c r="F70" i="8"/>
  <c r="H70" i="8" s="1"/>
  <c r="E70" i="8"/>
  <c r="B70" i="8"/>
  <c r="I69" i="8"/>
  <c r="G69" i="8"/>
  <c r="F69" i="8"/>
  <c r="H69" i="8" s="1"/>
  <c r="E69" i="8"/>
  <c r="B69" i="8"/>
  <c r="I68" i="8"/>
  <c r="G68" i="8"/>
  <c r="F68" i="8"/>
  <c r="H68" i="8" s="1"/>
  <c r="E68" i="8"/>
  <c r="B68" i="8"/>
  <c r="I67" i="8"/>
  <c r="G67" i="8"/>
  <c r="F67" i="8"/>
  <c r="H67" i="8" s="1"/>
  <c r="E67" i="8"/>
  <c r="B67" i="8"/>
  <c r="I66" i="8"/>
  <c r="G66" i="8"/>
  <c r="H66" i="8" s="1"/>
  <c r="F66" i="8"/>
  <c r="E66" i="8"/>
  <c r="B66" i="8"/>
  <c r="I65" i="8"/>
  <c r="G65" i="8"/>
  <c r="F65" i="8"/>
  <c r="H65" i="8" s="1"/>
  <c r="E65" i="8"/>
  <c r="B65" i="8"/>
  <c r="I64" i="8"/>
  <c r="G64" i="8"/>
  <c r="F64" i="8"/>
  <c r="H64" i="8" s="1"/>
  <c r="E64" i="8"/>
  <c r="B64" i="8"/>
  <c r="I63" i="8"/>
  <c r="G63" i="8"/>
  <c r="F63" i="8"/>
  <c r="H63" i="8" s="1"/>
  <c r="E63" i="8"/>
  <c r="B63" i="8"/>
  <c r="I62" i="8"/>
  <c r="G62" i="8"/>
  <c r="F62" i="8"/>
  <c r="H62" i="8" s="1"/>
  <c r="E62" i="8"/>
  <c r="B62" i="8"/>
  <c r="I61" i="8"/>
  <c r="G61" i="8"/>
  <c r="F61" i="8"/>
  <c r="H61" i="8" s="1"/>
  <c r="E61" i="8"/>
  <c r="B61" i="8"/>
  <c r="I60" i="8"/>
  <c r="G60" i="8"/>
  <c r="F60" i="8"/>
  <c r="H60" i="8" s="1"/>
  <c r="E60" i="8"/>
  <c r="B60" i="8"/>
  <c r="I59" i="8"/>
  <c r="G59" i="8"/>
  <c r="F59" i="8"/>
  <c r="H59" i="8" s="1"/>
  <c r="E59" i="8"/>
  <c r="B59" i="8"/>
  <c r="I58" i="8"/>
  <c r="G58" i="8"/>
  <c r="F58" i="8"/>
  <c r="H58" i="8" s="1"/>
  <c r="E58" i="8"/>
  <c r="B58" i="8"/>
  <c r="I57" i="8"/>
  <c r="G57" i="8"/>
  <c r="F57" i="8"/>
  <c r="H57" i="8" s="1"/>
  <c r="E57" i="8"/>
  <c r="B57" i="8"/>
  <c r="I56" i="8"/>
  <c r="G56" i="8"/>
  <c r="F56" i="8"/>
  <c r="H56" i="8" s="1"/>
  <c r="E56" i="8"/>
  <c r="B56" i="8"/>
  <c r="I55" i="8"/>
  <c r="G55" i="8"/>
  <c r="F55" i="8"/>
  <c r="H55" i="8" s="1"/>
  <c r="E55" i="8"/>
  <c r="B55" i="8"/>
  <c r="I54" i="8"/>
  <c r="G54" i="8"/>
  <c r="F54" i="8"/>
  <c r="H54" i="8" s="1"/>
  <c r="E54" i="8"/>
  <c r="B54" i="8"/>
  <c r="I53" i="8"/>
  <c r="G53" i="8"/>
  <c r="F53" i="8"/>
  <c r="H53" i="8" s="1"/>
  <c r="E53" i="8"/>
  <c r="B53" i="8"/>
  <c r="I52" i="8"/>
  <c r="G52" i="8"/>
  <c r="F52" i="8"/>
  <c r="H52" i="8" s="1"/>
  <c r="E52" i="8"/>
  <c r="B52" i="8"/>
  <c r="I51" i="8"/>
  <c r="G51" i="8"/>
  <c r="F51" i="8"/>
  <c r="H51" i="8" s="1"/>
  <c r="E51" i="8"/>
  <c r="B51" i="8"/>
  <c r="I50" i="8"/>
  <c r="G50" i="8"/>
  <c r="F50" i="8"/>
  <c r="H50" i="8" s="1"/>
  <c r="E50" i="8"/>
  <c r="B50" i="8"/>
  <c r="I49" i="8"/>
  <c r="G49" i="8"/>
  <c r="F49" i="8"/>
  <c r="H49" i="8" s="1"/>
  <c r="E49" i="8"/>
  <c r="B49" i="8"/>
  <c r="I48" i="8"/>
  <c r="G48" i="8"/>
  <c r="F48" i="8"/>
  <c r="H48" i="8" s="1"/>
  <c r="E48" i="8"/>
  <c r="B48" i="8"/>
  <c r="I47" i="8"/>
  <c r="G47" i="8"/>
  <c r="F47" i="8"/>
  <c r="H47" i="8" s="1"/>
  <c r="E47" i="8"/>
  <c r="B47" i="8"/>
  <c r="I46" i="8"/>
  <c r="G46" i="8"/>
  <c r="F46" i="8"/>
  <c r="H46" i="8" s="1"/>
  <c r="E46" i="8"/>
  <c r="B46" i="8"/>
  <c r="I45" i="8"/>
  <c r="G45" i="8"/>
  <c r="F45" i="8"/>
  <c r="H45" i="8" s="1"/>
  <c r="E45" i="8"/>
  <c r="B45" i="8"/>
  <c r="I44" i="8"/>
  <c r="G44" i="8"/>
  <c r="F44" i="8"/>
  <c r="H44" i="8" s="1"/>
  <c r="E44" i="8"/>
  <c r="B44" i="8"/>
  <c r="I43" i="8"/>
  <c r="G43" i="8"/>
  <c r="F43" i="8"/>
  <c r="H43" i="8" s="1"/>
  <c r="E43" i="8"/>
  <c r="B43" i="8"/>
  <c r="I42" i="8"/>
  <c r="G42" i="8"/>
  <c r="F42" i="8"/>
  <c r="H42" i="8" s="1"/>
  <c r="E42" i="8"/>
  <c r="B42" i="8"/>
  <c r="I41" i="8"/>
  <c r="G41" i="8"/>
  <c r="F41" i="8"/>
  <c r="H41" i="8" s="1"/>
  <c r="E41" i="8"/>
  <c r="B41" i="8"/>
  <c r="I40" i="8"/>
  <c r="G40" i="8"/>
  <c r="F40" i="8"/>
  <c r="H40" i="8" s="1"/>
  <c r="E40" i="8"/>
  <c r="B40" i="8"/>
  <c r="I39" i="8"/>
  <c r="G39" i="8"/>
  <c r="F39" i="8"/>
  <c r="H39" i="8" s="1"/>
  <c r="E39" i="8"/>
  <c r="B39" i="8"/>
  <c r="I38" i="8"/>
  <c r="G38" i="8"/>
  <c r="F38" i="8"/>
  <c r="H38" i="8" s="1"/>
  <c r="E38" i="8"/>
  <c r="B38" i="8"/>
  <c r="I37" i="8"/>
  <c r="G37" i="8"/>
  <c r="F37" i="8"/>
  <c r="H37" i="8" s="1"/>
  <c r="E37" i="8"/>
  <c r="B37" i="8"/>
  <c r="I36" i="8"/>
  <c r="G36" i="8"/>
  <c r="F36" i="8"/>
  <c r="H36" i="8" s="1"/>
  <c r="E36" i="8"/>
  <c r="B36" i="8"/>
  <c r="I35" i="8"/>
  <c r="G35" i="8"/>
  <c r="F35" i="8"/>
  <c r="H35" i="8" s="1"/>
  <c r="E35" i="8"/>
  <c r="B35" i="8"/>
  <c r="I34" i="8"/>
  <c r="G34" i="8"/>
  <c r="F34" i="8"/>
  <c r="H34" i="8" s="1"/>
  <c r="E34" i="8"/>
  <c r="B34" i="8"/>
  <c r="I33" i="8"/>
  <c r="G33" i="8"/>
  <c r="F33" i="8"/>
  <c r="H33" i="8" s="1"/>
  <c r="E33" i="8"/>
  <c r="B33" i="8"/>
  <c r="I32" i="8"/>
  <c r="G32" i="8"/>
  <c r="F32" i="8"/>
  <c r="H32" i="8" s="1"/>
  <c r="E32" i="8"/>
  <c r="B32" i="8"/>
  <c r="I31" i="8"/>
  <c r="G31" i="8"/>
  <c r="F31" i="8"/>
  <c r="H31" i="8" s="1"/>
  <c r="E31" i="8"/>
  <c r="B31" i="8"/>
  <c r="I30" i="8"/>
  <c r="G30" i="8"/>
  <c r="F30" i="8"/>
  <c r="H30" i="8" s="1"/>
  <c r="E30" i="8"/>
  <c r="B30" i="8"/>
  <c r="I29" i="8"/>
  <c r="G29" i="8"/>
  <c r="F29" i="8"/>
  <c r="H29" i="8" s="1"/>
  <c r="E29" i="8"/>
  <c r="B29" i="8"/>
  <c r="I28" i="8"/>
  <c r="G28" i="8"/>
  <c r="F28" i="8"/>
  <c r="H28" i="8" s="1"/>
  <c r="E28" i="8"/>
  <c r="B28" i="8"/>
  <c r="I27" i="8"/>
  <c r="G27" i="8"/>
  <c r="F27" i="8"/>
  <c r="H27" i="8" s="1"/>
  <c r="E27" i="8"/>
  <c r="B27" i="8"/>
  <c r="I26" i="8"/>
  <c r="G26" i="8"/>
  <c r="F26" i="8"/>
  <c r="H26" i="8" s="1"/>
  <c r="E26" i="8"/>
  <c r="B26" i="8"/>
  <c r="I25" i="8"/>
  <c r="G25" i="8"/>
  <c r="H25" i="8" s="1"/>
  <c r="F25" i="8"/>
  <c r="E25" i="8"/>
  <c r="B25" i="8"/>
  <c r="I24" i="8"/>
  <c r="G24" i="8"/>
  <c r="F24" i="8"/>
  <c r="H24" i="8" s="1"/>
  <c r="E24" i="8"/>
  <c r="B24" i="8"/>
  <c r="I23" i="8"/>
  <c r="G23" i="8"/>
  <c r="F23" i="8"/>
  <c r="H23" i="8" s="1"/>
  <c r="E23" i="8"/>
  <c r="B23" i="8"/>
  <c r="I22" i="8"/>
  <c r="G22" i="8"/>
  <c r="F22" i="8"/>
  <c r="H22" i="8" s="1"/>
  <c r="E22" i="8"/>
  <c r="B22" i="8"/>
  <c r="I21" i="8"/>
  <c r="G21" i="8"/>
  <c r="F21" i="8"/>
  <c r="H21" i="8" s="1"/>
  <c r="E21" i="8"/>
  <c r="B21" i="8"/>
  <c r="I20" i="8"/>
  <c r="G20" i="8"/>
  <c r="F20" i="8"/>
  <c r="H20" i="8" s="1"/>
  <c r="E20" i="8"/>
  <c r="B20" i="8"/>
  <c r="I19" i="8"/>
  <c r="G19" i="8"/>
  <c r="F19" i="8"/>
  <c r="H19" i="8" s="1"/>
  <c r="E19" i="8"/>
  <c r="B19" i="8"/>
  <c r="I18" i="8"/>
  <c r="G18" i="8"/>
  <c r="F18" i="8"/>
  <c r="H18" i="8" s="1"/>
  <c r="E18" i="8"/>
  <c r="B18" i="8"/>
  <c r="I17" i="8"/>
  <c r="G17" i="8"/>
  <c r="F17" i="8"/>
  <c r="H17" i="8" s="1"/>
  <c r="E17" i="8"/>
  <c r="B17" i="8"/>
  <c r="I16" i="8"/>
  <c r="G16" i="8"/>
  <c r="F16" i="8"/>
  <c r="H16" i="8" s="1"/>
  <c r="E16" i="8"/>
  <c r="B16" i="8"/>
  <c r="I15" i="8"/>
  <c r="G15" i="8"/>
  <c r="F15" i="8"/>
  <c r="H15" i="8" s="1"/>
  <c r="E15" i="8"/>
  <c r="B15" i="8"/>
  <c r="I14" i="8"/>
  <c r="G14" i="8"/>
  <c r="F14" i="8"/>
  <c r="H14" i="8" s="1"/>
  <c r="E14" i="8"/>
  <c r="B14" i="8"/>
  <c r="I13" i="8"/>
  <c r="G13" i="8"/>
  <c r="F13" i="8"/>
  <c r="H13" i="8" s="1"/>
  <c r="E13" i="8"/>
  <c r="B13" i="8"/>
  <c r="I12" i="8"/>
  <c r="G12" i="8"/>
  <c r="F12" i="8"/>
  <c r="H12" i="8" s="1"/>
  <c r="E12" i="8"/>
  <c r="B12" i="8"/>
  <c r="I11" i="8"/>
  <c r="G11" i="8"/>
  <c r="F11" i="8"/>
  <c r="H11" i="8" s="1"/>
  <c r="E11" i="8"/>
  <c r="B11" i="8"/>
  <c r="I10" i="8"/>
  <c r="G10" i="8"/>
  <c r="F10" i="8"/>
  <c r="H10" i="8" s="1"/>
  <c r="E10" i="8"/>
  <c r="B10" i="8"/>
  <c r="I9" i="8"/>
  <c r="G9" i="8"/>
  <c r="F9" i="8"/>
  <c r="H9" i="8" s="1"/>
  <c r="E9" i="8"/>
  <c r="B9" i="8"/>
  <c r="I8" i="8"/>
  <c r="G8" i="8"/>
  <c r="F8" i="8"/>
  <c r="H8" i="8" s="1"/>
  <c r="E8" i="8"/>
  <c r="B8" i="8"/>
  <c r="I7" i="8"/>
  <c r="G7" i="8"/>
  <c r="F7" i="8"/>
  <c r="H7" i="8" s="1"/>
  <c r="E7" i="8"/>
  <c r="B7" i="8"/>
  <c r="I6" i="8"/>
  <c r="G6" i="8"/>
  <c r="F6" i="8"/>
  <c r="H6" i="8" s="1"/>
  <c r="E6" i="8"/>
  <c r="B6" i="8"/>
  <c r="I5" i="8"/>
  <c r="G5" i="8"/>
  <c r="F5" i="8"/>
  <c r="H5" i="8" s="1"/>
  <c r="E5" i="8"/>
  <c r="B5" i="8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<sst xmlns="http://schemas.openxmlformats.org/spreadsheetml/2006/main" count="1055" uniqueCount="124">
  <si>
    <t>Сезон</t>
  </si>
  <si>
    <t>Игрок</t>
  </si>
  <si>
    <t>Позиция</t>
  </si>
  <si>
    <t>Матчи</t>
  </si>
  <si>
    <t>Голы</t>
  </si>
  <si>
    <t>Ассисты</t>
  </si>
  <si>
    <t>Сухие матчи</t>
  </si>
  <si>
    <t>Г+П</t>
  </si>
  <si>
    <t>2023/24</t>
  </si>
  <si>
    <t>J. Vardy</t>
  </si>
  <si>
    <t>ФРВ</t>
  </si>
  <si>
    <t>A. Oxlade-Chamberlain</t>
  </si>
  <si>
    <t>ЦП</t>
  </si>
  <si>
    <t>R. Kent</t>
  </si>
  <si>
    <t>ЛФА</t>
  </si>
  <si>
    <t>K. Dewsbury-Hall</t>
  </si>
  <si>
    <t>A. Fatawu Issahaku</t>
  </si>
  <si>
    <t>ПФА</t>
  </si>
  <si>
    <t>D. Washington</t>
  </si>
  <si>
    <t>J. Justin</t>
  </si>
  <si>
    <t>ЛЗ</t>
  </si>
  <si>
    <t>W. Ndidi</t>
  </si>
  <si>
    <t>ЦОП</t>
  </si>
  <si>
    <t>D. Alli</t>
  </si>
  <si>
    <t>P. Daka</t>
  </si>
  <si>
    <t>2024/25</t>
  </si>
  <si>
    <t>A. Sarr</t>
  </si>
  <si>
    <t>Jeffinho</t>
  </si>
  <si>
    <t>G. Kerk</t>
  </si>
  <si>
    <t>J. Ward-Prowse</t>
  </si>
  <si>
    <t>W. Faes</t>
  </si>
  <si>
    <t>ЦЗ</t>
  </si>
  <si>
    <t>R. Bazoer</t>
  </si>
  <si>
    <t>J. Dasilva</t>
  </si>
  <si>
    <t>R. Pereira</t>
  </si>
  <si>
    <t>ПЗ</t>
  </si>
  <si>
    <t>M. Knudsen</t>
  </si>
  <si>
    <t>P. McAllister</t>
  </si>
  <si>
    <t>S. Knudsen</t>
  </si>
  <si>
    <t>B. Gordon</t>
  </si>
  <si>
    <t>F. Christensen</t>
  </si>
  <si>
    <t>ВРТ</t>
  </si>
  <si>
    <t>T. Harwood-Bellis</t>
  </si>
  <si>
    <t>2025/26</t>
  </si>
  <si>
    <t>L. Proctor</t>
  </si>
  <si>
    <t>ЦАП</t>
  </si>
  <si>
    <t>D. Fofana</t>
  </si>
  <si>
    <t>C. Bassey</t>
  </si>
  <si>
    <t>J. Branthwaite</t>
  </si>
  <si>
    <t>Á. Baena</t>
  </si>
  <si>
    <t>A. Scott</t>
  </si>
  <si>
    <t>R. Bardghji</t>
  </si>
  <si>
    <t>P. Neal</t>
  </si>
  <si>
    <t>L. Hagen</t>
  </si>
  <si>
    <t>J. Rak-Sakyi</t>
  </si>
  <si>
    <t>L. Kelly</t>
  </si>
  <si>
    <t>R. Matondo</t>
  </si>
  <si>
    <t>E. Laird</t>
  </si>
  <si>
    <t>F. Pereira</t>
  </si>
  <si>
    <t>E. Sørensen</t>
  </si>
  <si>
    <t>Q. Hartman</t>
  </si>
  <si>
    <t>M. Bakker</t>
  </si>
  <si>
    <t>F. Kadıoğlu</t>
  </si>
  <si>
    <t>Kepa</t>
  </si>
  <si>
    <t>2026/27</t>
  </si>
  <si>
    <t>K. Sulemana</t>
  </si>
  <si>
    <t>N. Madueke</t>
  </si>
  <si>
    <t>B. Mbeumo</t>
  </si>
  <si>
    <t>S. Mara</t>
  </si>
  <si>
    <t>N. Seiwald</t>
  </si>
  <si>
    <t>M. Beier</t>
  </si>
  <si>
    <t>M. Daramy</t>
  </si>
  <si>
    <t>G. Fernandes</t>
  </si>
  <si>
    <t>L. Robertone</t>
  </si>
  <si>
    <t>A. Kovalenko</t>
  </si>
  <si>
    <t>T. Correia</t>
  </si>
  <si>
    <t>S. Boey</t>
  </si>
  <si>
    <t>S. Moreira</t>
  </si>
  <si>
    <t>A. Lund</t>
  </si>
  <si>
    <t>A. Almeida</t>
  </si>
  <si>
    <t>S. Bajcetic</t>
  </si>
  <si>
    <t>D. Müller</t>
  </si>
  <si>
    <t>S. Yılmaz</t>
  </si>
  <si>
    <t>L. Schmid</t>
  </si>
  <si>
    <t>I. Carrasco</t>
  </si>
  <si>
    <t>A. Novak</t>
  </si>
  <si>
    <t>T. Gomes</t>
  </si>
  <si>
    <t>F. García</t>
  </si>
  <si>
    <t>T. Adarabioyo</t>
  </si>
  <si>
    <t>M. Safonov</t>
  </si>
  <si>
    <t>2027/28</t>
  </si>
  <si>
    <t>A. Hložek</t>
  </si>
  <si>
    <t>T. Tomás</t>
  </si>
  <si>
    <t>S. Szymański</t>
  </si>
  <si>
    <t>M. Baturina</t>
  </si>
  <si>
    <t>A. Diouf</t>
  </si>
  <si>
    <t>M. Gusto</t>
  </si>
  <si>
    <t>Ângelo</t>
  </si>
  <si>
    <t>E. Dodds</t>
  </si>
  <si>
    <t>S. Sadik</t>
  </si>
  <si>
    <t>H. Bueno</t>
  </si>
  <si>
    <t>J. Bellingham</t>
  </si>
  <si>
    <t>T. Djaló</t>
  </si>
  <si>
    <t>João Mário</t>
  </si>
  <si>
    <t>A. Trubin</t>
  </si>
  <si>
    <t>Параметр</t>
  </si>
  <si>
    <t>Описание</t>
  </si>
  <si>
    <t>Источник</t>
  </si>
  <si>
    <t>13 скриншотов EA FC, порядок от 2023/24 до 2027/28</t>
  </si>
  <si>
    <t>Объём</t>
  </si>
  <si>
    <t>Только видимые строки, без восстановления скрытых игроков</t>
  </si>
  <si>
    <t>Переписаны из левой таблицы, включая полевых игроков</t>
  </si>
  <si>
    <t>Дубликаты</t>
  </si>
  <si>
    <t>Повторяющиеся строки внутри одного сезона исключены</t>
  </si>
  <si>
    <t>LEICESTER CITY  |  СТАТИСТИКА ЗА ВСЮ КАРЬЕРУ</t>
  </si>
  <si>
    <t>EA FC 24  •  2023/24—2027/28  •  по всем видимым строкам предоставленных скриншотов</t>
  </si>
  <si>
    <t>Сезонов</t>
  </si>
  <si>
    <t>Первый сезон</t>
  </si>
  <si>
    <t>Последний сезон</t>
  </si>
  <si>
    <t>Матчей</t>
  </si>
  <si>
    <t>Голов</t>
  </si>
  <si>
    <t>Голевых</t>
  </si>
  <si>
    <t>Количество сезонов = число сезонов, где футболист присутствует в таблице (включая 0 матчей).</t>
  </si>
  <si>
    <t>Суммы включают только видимые на скриншотах записи. Повторения внутри одного сезона уже исключены.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</si>
</sst>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color rgb="FF35517A"/>
      <name val="Carlito"/>
    </font>
    <font>
      <b/>
      <sz val="11"/>
      <color rgb="FF18385F"/>
      <name val="Carlito"/>
    </font>
    <font>
      <i/>
      <sz val="11"/>
      <color rgb="FF667A95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23C79"/>
      </patternFill>
    </fill>
    <fill>
      <patternFill patternType="solid">
        <fgColor rgb="FF102B54"/>
      </patternFill>
    </fill>
    <fill>
      <patternFill patternType="solid">
        <fgColor rgb="FFE8F0FC"/>
      </patternFill>
    </fill>
    <fill>
      <patternFill patternType="solid">
        <fgColor rgb="FF1B4B95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center"/>
    </xf>
    <xf numFmtId="0" fontId="3" fillId="4" borderId="0" xfId="0" applyFont="1" applyFill="1"/>
    <xf numFmtId="0" fontId="5" fillId="0" borderId="0" xfId="0" applyFont="1"/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1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/>
  </sheetViews>
  <sheetFormatPr baseColWidth="10" defaultColWidth="8.83203125" defaultRowHeight="15"/>
  <cols>
    <col min="1" max="1" width="14" customWidth="1"/>
    <col min="2" max="2" width="26" customWidth="1"/>
    <col min="3" max="8" width="14" customWidth="1"/>
  </cols>
  <sheetData>
    <row r="1" spans="1:8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53</v>
      </c>
      <c r="E2">
        <v>52</v>
      </c>
      <c r="F2">
        <v>11</v>
      </c>
      <c r="G2">
        <v>11</v>
      </c>
      <c r="H2">
        <f t="shared" ref="H2:H11" si="0">E2+F2</f>
        <v>63</v>
      </c>
    </row>
    <row r="3" spans="1:8">
      <c r="A3" t="s">
        <v>8</v>
      </c>
      <c r="B3" t="s">
        <v>11</v>
      </c>
      <c r="C3" t="s">
        <v>12</v>
      </c>
      <c r="D3">
        <v>53</v>
      </c>
      <c r="E3">
        <v>25</v>
      </c>
      <c r="F3">
        <v>17</v>
      </c>
      <c r="G3">
        <v>15</v>
      </c>
      <c r="H3">
        <f t="shared" si="0"/>
        <v>42</v>
      </c>
    </row>
    <row r="4" spans="1:8">
      <c r="A4" t="s">
        <v>8</v>
      </c>
      <c r="B4" t="s">
        <v>13</v>
      </c>
      <c r="C4" t="s">
        <v>14</v>
      </c>
      <c r="D4">
        <v>52</v>
      </c>
      <c r="E4">
        <v>23</v>
      </c>
      <c r="F4">
        <v>10</v>
      </c>
      <c r="G4">
        <v>15</v>
      </c>
      <c r="H4">
        <f t="shared" si="0"/>
        <v>33</v>
      </c>
    </row>
    <row r="5" spans="1:8">
      <c r="A5" t="s">
        <v>8</v>
      </c>
      <c r="B5" t="s">
        <v>15</v>
      </c>
      <c r="C5" t="s">
        <v>12</v>
      </c>
      <c r="D5">
        <v>51</v>
      </c>
      <c r="E5">
        <v>18</v>
      </c>
      <c r="F5">
        <v>15</v>
      </c>
      <c r="G5">
        <v>15</v>
      </c>
      <c r="H5">
        <f t="shared" si="0"/>
        <v>33</v>
      </c>
    </row>
    <row r="6" spans="1:8">
      <c r="A6" t="s">
        <v>8</v>
      </c>
      <c r="B6" t="s">
        <v>16</v>
      </c>
      <c r="C6" t="s">
        <v>17</v>
      </c>
      <c r="D6">
        <v>52</v>
      </c>
      <c r="E6">
        <v>12</v>
      </c>
      <c r="F6">
        <v>17</v>
      </c>
      <c r="G6">
        <v>12</v>
      </c>
      <c r="H6">
        <f t="shared" si="0"/>
        <v>29</v>
      </c>
    </row>
    <row r="7" spans="1:8">
      <c r="A7" t="s">
        <v>8</v>
      </c>
      <c r="B7" t="s">
        <v>18</v>
      </c>
      <c r="C7" t="s">
        <v>10</v>
      </c>
      <c r="D7">
        <v>23</v>
      </c>
      <c r="E7">
        <v>6</v>
      </c>
      <c r="F7">
        <v>1</v>
      </c>
      <c r="G7">
        <v>0</v>
      </c>
      <c r="H7">
        <f t="shared" si="0"/>
        <v>7</v>
      </c>
    </row>
    <row r="8" spans="1:8">
      <c r="A8" t="s">
        <v>8</v>
      </c>
      <c r="B8" t="s">
        <v>19</v>
      </c>
      <c r="C8" t="s">
        <v>20</v>
      </c>
      <c r="D8">
        <v>52</v>
      </c>
      <c r="E8">
        <v>4</v>
      </c>
      <c r="F8">
        <v>12</v>
      </c>
      <c r="G8">
        <v>15</v>
      </c>
      <c r="H8">
        <f t="shared" si="0"/>
        <v>16</v>
      </c>
    </row>
    <row r="9" spans="1:8">
      <c r="A9" t="s">
        <v>8</v>
      </c>
      <c r="B9" t="s">
        <v>21</v>
      </c>
      <c r="C9" t="s">
        <v>22</v>
      </c>
      <c r="D9">
        <v>52</v>
      </c>
      <c r="E9">
        <v>2</v>
      </c>
      <c r="F9">
        <v>5</v>
      </c>
      <c r="G9">
        <v>13</v>
      </c>
      <c r="H9">
        <f t="shared" si="0"/>
        <v>7</v>
      </c>
    </row>
    <row r="10" spans="1:8">
      <c r="A10" t="s">
        <v>8</v>
      </c>
      <c r="B10" t="s">
        <v>23</v>
      </c>
      <c r="C10" t="s">
        <v>12</v>
      </c>
      <c r="D10">
        <v>29</v>
      </c>
      <c r="E10">
        <v>2</v>
      </c>
      <c r="F10">
        <v>3</v>
      </c>
      <c r="G10">
        <v>1</v>
      </c>
      <c r="H10">
        <f t="shared" si="0"/>
        <v>5</v>
      </c>
    </row>
    <row r="11" spans="1:8">
      <c r="A11" t="s">
        <v>8</v>
      </c>
      <c r="B11" t="s">
        <v>24</v>
      </c>
      <c r="C11" t="s">
        <v>10</v>
      </c>
      <c r="D11">
        <v>10</v>
      </c>
      <c r="E11">
        <v>2</v>
      </c>
      <c r="F11">
        <v>0</v>
      </c>
      <c r="G11">
        <v>0</v>
      </c>
      <c r="H11">
        <f t="shared" si="0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/>
  </sheetViews>
  <sheetFormatPr baseColWidth="10" defaultColWidth="8.83203125" defaultRowHeight="15"/>
  <cols>
    <col min="1" max="1" width="14" customWidth="1"/>
    <col min="2" max="2" width="26" customWidth="1"/>
    <col min="3" max="8" width="14" customWidth="1"/>
  </cols>
  <sheetData>
    <row r="1" spans="1:8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25</v>
      </c>
      <c r="B2" t="s">
        <v>9</v>
      </c>
      <c r="C2" t="s">
        <v>10</v>
      </c>
      <c r="D2">
        <v>45</v>
      </c>
      <c r="E2">
        <v>31</v>
      </c>
      <c r="F2">
        <v>7</v>
      </c>
      <c r="G2">
        <v>5</v>
      </c>
      <c r="H2">
        <f t="shared" ref="H2:H21" si="0">E2+F2</f>
        <v>38</v>
      </c>
    </row>
    <row r="3" spans="1:8">
      <c r="A3" t="s">
        <v>25</v>
      </c>
      <c r="B3" t="s">
        <v>16</v>
      </c>
      <c r="C3" t="s">
        <v>17</v>
      </c>
      <c r="D3">
        <v>34</v>
      </c>
      <c r="E3">
        <v>13</v>
      </c>
      <c r="F3">
        <v>8</v>
      </c>
      <c r="G3">
        <v>5</v>
      </c>
      <c r="H3">
        <f t="shared" si="0"/>
        <v>21</v>
      </c>
    </row>
    <row r="4" spans="1:8">
      <c r="A4" t="s">
        <v>25</v>
      </c>
      <c r="B4" t="s">
        <v>26</v>
      </c>
      <c r="C4" t="s">
        <v>10</v>
      </c>
      <c r="D4">
        <v>27</v>
      </c>
      <c r="E4">
        <v>13</v>
      </c>
      <c r="F4">
        <v>5</v>
      </c>
      <c r="G4">
        <v>0</v>
      </c>
      <c r="H4">
        <f t="shared" si="0"/>
        <v>18</v>
      </c>
    </row>
    <row r="5" spans="1:8">
      <c r="A5" t="s">
        <v>25</v>
      </c>
      <c r="B5" t="s">
        <v>15</v>
      </c>
      <c r="C5" t="s">
        <v>12</v>
      </c>
      <c r="D5">
        <v>45</v>
      </c>
      <c r="E5">
        <v>6</v>
      </c>
      <c r="F5">
        <v>10</v>
      </c>
      <c r="G5">
        <v>6</v>
      </c>
      <c r="H5">
        <f t="shared" si="0"/>
        <v>16</v>
      </c>
    </row>
    <row r="6" spans="1:8">
      <c r="A6" t="s">
        <v>25</v>
      </c>
      <c r="B6" t="s">
        <v>27</v>
      </c>
      <c r="C6" t="s">
        <v>14</v>
      </c>
      <c r="D6">
        <v>22</v>
      </c>
      <c r="E6">
        <v>5</v>
      </c>
      <c r="F6">
        <v>8</v>
      </c>
      <c r="G6">
        <v>3</v>
      </c>
      <c r="H6">
        <f t="shared" si="0"/>
        <v>13</v>
      </c>
    </row>
    <row r="7" spans="1:8">
      <c r="A7" t="s">
        <v>25</v>
      </c>
      <c r="B7" t="s">
        <v>28</v>
      </c>
      <c r="C7" t="s">
        <v>14</v>
      </c>
      <c r="D7">
        <v>22</v>
      </c>
      <c r="E7">
        <v>5</v>
      </c>
      <c r="F7">
        <v>1</v>
      </c>
      <c r="G7">
        <v>0</v>
      </c>
      <c r="H7">
        <f t="shared" si="0"/>
        <v>6</v>
      </c>
    </row>
    <row r="8" spans="1:8">
      <c r="A8" t="s">
        <v>25</v>
      </c>
      <c r="B8" t="s">
        <v>11</v>
      </c>
      <c r="C8" t="s">
        <v>12</v>
      </c>
      <c r="D8">
        <v>27</v>
      </c>
      <c r="E8">
        <v>4</v>
      </c>
      <c r="F8">
        <v>4</v>
      </c>
      <c r="G8">
        <v>3</v>
      </c>
      <c r="H8">
        <f t="shared" si="0"/>
        <v>8</v>
      </c>
    </row>
    <row r="9" spans="1:8">
      <c r="A9" t="s">
        <v>25</v>
      </c>
      <c r="B9" t="s">
        <v>29</v>
      </c>
      <c r="C9" t="s">
        <v>12</v>
      </c>
      <c r="D9">
        <v>28</v>
      </c>
      <c r="E9">
        <v>4</v>
      </c>
      <c r="F9">
        <v>3</v>
      </c>
      <c r="G9">
        <v>2</v>
      </c>
      <c r="H9">
        <f t="shared" si="0"/>
        <v>7</v>
      </c>
    </row>
    <row r="10" spans="1:8">
      <c r="A10" t="s">
        <v>25</v>
      </c>
      <c r="B10" t="s">
        <v>13</v>
      </c>
      <c r="C10" t="s">
        <v>14</v>
      </c>
      <c r="D10">
        <v>13</v>
      </c>
      <c r="E10">
        <v>2</v>
      </c>
      <c r="F10">
        <v>4</v>
      </c>
      <c r="G10">
        <v>3</v>
      </c>
      <c r="H10">
        <f t="shared" si="0"/>
        <v>6</v>
      </c>
    </row>
    <row r="11" spans="1:8">
      <c r="A11" t="s">
        <v>25</v>
      </c>
      <c r="B11" t="s">
        <v>19</v>
      </c>
      <c r="C11" t="s">
        <v>20</v>
      </c>
      <c r="D11">
        <v>35</v>
      </c>
      <c r="E11">
        <v>1</v>
      </c>
      <c r="F11">
        <v>1</v>
      </c>
      <c r="G11">
        <v>3</v>
      </c>
      <c r="H11">
        <f t="shared" si="0"/>
        <v>2</v>
      </c>
    </row>
    <row r="12" spans="1:8">
      <c r="A12" t="s">
        <v>25</v>
      </c>
      <c r="B12" t="s">
        <v>30</v>
      </c>
      <c r="C12" t="s">
        <v>31</v>
      </c>
      <c r="D12">
        <v>44</v>
      </c>
      <c r="E12">
        <v>1</v>
      </c>
      <c r="F12">
        <v>1</v>
      </c>
      <c r="G12">
        <v>6</v>
      </c>
      <c r="H12">
        <f t="shared" si="0"/>
        <v>2</v>
      </c>
    </row>
    <row r="13" spans="1:8">
      <c r="A13" t="s">
        <v>25</v>
      </c>
      <c r="B13" t="s">
        <v>32</v>
      </c>
      <c r="C13" t="s">
        <v>31</v>
      </c>
      <c r="D13">
        <v>8</v>
      </c>
      <c r="E13">
        <v>1</v>
      </c>
      <c r="F13">
        <v>1</v>
      </c>
      <c r="G13">
        <v>0</v>
      </c>
      <c r="H13">
        <f t="shared" si="0"/>
        <v>2</v>
      </c>
    </row>
    <row r="14" spans="1:8">
      <c r="A14" t="s">
        <v>25</v>
      </c>
      <c r="B14" t="s">
        <v>33</v>
      </c>
      <c r="C14" t="s">
        <v>12</v>
      </c>
      <c r="D14">
        <v>15</v>
      </c>
      <c r="E14">
        <v>1</v>
      </c>
      <c r="F14">
        <v>1</v>
      </c>
      <c r="G14">
        <v>1</v>
      </c>
      <c r="H14">
        <f t="shared" si="0"/>
        <v>2</v>
      </c>
    </row>
    <row r="15" spans="1:8">
      <c r="A15" t="s">
        <v>25</v>
      </c>
      <c r="B15" t="s">
        <v>34</v>
      </c>
      <c r="C15" t="s">
        <v>35</v>
      </c>
      <c r="D15">
        <v>26</v>
      </c>
      <c r="E15">
        <v>1</v>
      </c>
      <c r="F15">
        <v>1</v>
      </c>
      <c r="G15">
        <v>5</v>
      </c>
      <c r="H15">
        <f t="shared" si="0"/>
        <v>2</v>
      </c>
    </row>
    <row r="16" spans="1:8">
      <c r="A16" t="s">
        <v>25</v>
      </c>
      <c r="B16" t="s">
        <v>36</v>
      </c>
      <c r="C16" t="s">
        <v>14</v>
      </c>
      <c r="D16">
        <v>0</v>
      </c>
      <c r="E16">
        <v>0</v>
      </c>
      <c r="F16">
        <v>0</v>
      </c>
      <c r="G16">
        <v>0</v>
      </c>
      <c r="H16">
        <f t="shared" si="0"/>
        <v>0</v>
      </c>
    </row>
    <row r="17" spans="1:8">
      <c r="A17" t="s">
        <v>25</v>
      </c>
      <c r="B17" t="s">
        <v>37</v>
      </c>
      <c r="C17" t="s">
        <v>20</v>
      </c>
      <c r="D17">
        <v>0</v>
      </c>
      <c r="E17">
        <v>0</v>
      </c>
      <c r="F17">
        <v>0</v>
      </c>
      <c r="G17">
        <v>0</v>
      </c>
      <c r="H17">
        <f t="shared" si="0"/>
        <v>0</v>
      </c>
    </row>
    <row r="18" spans="1:8">
      <c r="A18" t="s">
        <v>25</v>
      </c>
      <c r="B18" t="s">
        <v>38</v>
      </c>
      <c r="C18" t="s">
        <v>17</v>
      </c>
      <c r="D18">
        <v>0</v>
      </c>
      <c r="E18">
        <v>0</v>
      </c>
      <c r="F18">
        <v>0</v>
      </c>
      <c r="G18">
        <v>0</v>
      </c>
      <c r="H18">
        <f t="shared" si="0"/>
        <v>0</v>
      </c>
    </row>
    <row r="19" spans="1:8">
      <c r="A19" t="s">
        <v>25</v>
      </c>
      <c r="B19" t="s">
        <v>39</v>
      </c>
      <c r="C19" t="s">
        <v>17</v>
      </c>
      <c r="D19">
        <v>0</v>
      </c>
      <c r="E19">
        <v>0</v>
      </c>
      <c r="F19">
        <v>0</v>
      </c>
      <c r="G19">
        <v>0</v>
      </c>
      <c r="H19">
        <f t="shared" si="0"/>
        <v>0</v>
      </c>
    </row>
    <row r="20" spans="1:8">
      <c r="A20" t="s">
        <v>25</v>
      </c>
      <c r="B20" t="s">
        <v>40</v>
      </c>
      <c r="C20" t="s">
        <v>41</v>
      </c>
      <c r="D20">
        <v>0</v>
      </c>
      <c r="E20">
        <v>0</v>
      </c>
      <c r="F20">
        <v>0</v>
      </c>
      <c r="G20">
        <v>0</v>
      </c>
      <c r="H20">
        <f t="shared" si="0"/>
        <v>0</v>
      </c>
    </row>
    <row r="21" spans="1:8">
      <c r="A21" t="s">
        <v>25</v>
      </c>
      <c r="B21" t="s">
        <v>42</v>
      </c>
      <c r="C21" t="s">
        <v>31</v>
      </c>
      <c r="D21">
        <v>11</v>
      </c>
      <c r="E21">
        <v>0</v>
      </c>
      <c r="F21">
        <v>0</v>
      </c>
      <c r="G21">
        <v>1</v>
      </c>
      <c r="H21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/>
  </sheetViews>
  <sheetFormatPr baseColWidth="10" defaultColWidth="8.83203125" defaultRowHeight="15"/>
  <cols>
    <col min="1" max="1" width="14" customWidth="1"/>
    <col min="2" max="2" width="26" customWidth="1"/>
    <col min="3" max="8" width="14" customWidth="1"/>
  </cols>
  <sheetData>
    <row r="1" spans="1:8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43</v>
      </c>
      <c r="B2" t="s">
        <v>26</v>
      </c>
      <c r="C2" t="s">
        <v>10</v>
      </c>
      <c r="D2">
        <v>48</v>
      </c>
      <c r="E2">
        <v>36</v>
      </c>
      <c r="F2">
        <v>11</v>
      </c>
      <c r="G2">
        <v>8</v>
      </c>
      <c r="H2">
        <f t="shared" ref="H2:H31" si="0">E2+F2</f>
        <v>47</v>
      </c>
    </row>
    <row r="3" spans="1:8">
      <c r="A3" t="s">
        <v>43</v>
      </c>
      <c r="B3" t="s">
        <v>16</v>
      </c>
      <c r="C3" t="s">
        <v>17</v>
      </c>
      <c r="D3">
        <v>47</v>
      </c>
      <c r="E3">
        <v>19</v>
      </c>
      <c r="F3">
        <v>11</v>
      </c>
      <c r="G3">
        <v>6</v>
      </c>
      <c r="H3">
        <f t="shared" si="0"/>
        <v>30</v>
      </c>
    </row>
    <row r="4" spans="1:8">
      <c r="A4" t="s">
        <v>43</v>
      </c>
      <c r="B4" t="s">
        <v>44</v>
      </c>
      <c r="C4" t="s">
        <v>45</v>
      </c>
      <c r="D4">
        <v>47</v>
      </c>
      <c r="E4">
        <v>13</v>
      </c>
      <c r="F4">
        <v>13</v>
      </c>
      <c r="G4">
        <v>6</v>
      </c>
      <c r="H4">
        <f t="shared" si="0"/>
        <v>26</v>
      </c>
    </row>
    <row r="5" spans="1:8">
      <c r="A5" t="s">
        <v>43</v>
      </c>
      <c r="B5" t="s">
        <v>46</v>
      </c>
      <c r="C5" t="s">
        <v>10</v>
      </c>
      <c r="D5">
        <v>33</v>
      </c>
      <c r="E5">
        <v>13</v>
      </c>
      <c r="F5">
        <v>4</v>
      </c>
      <c r="G5">
        <v>0</v>
      </c>
      <c r="H5">
        <f t="shared" si="0"/>
        <v>17</v>
      </c>
    </row>
    <row r="6" spans="1:8">
      <c r="A6" t="s">
        <v>43</v>
      </c>
      <c r="B6" t="s">
        <v>27</v>
      </c>
      <c r="C6" t="s">
        <v>14</v>
      </c>
      <c r="D6">
        <v>27</v>
      </c>
      <c r="E6">
        <v>6</v>
      </c>
      <c r="F6">
        <v>6</v>
      </c>
      <c r="G6">
        <v>1</v>
      </c>
      <c r="H6">
        <f t="shared" si="0"/>
        <v>12</v>
      </c>
    </row>
    <row r="7" spans="1:8">
      <c r="A7" t="s">
        <v>43</v>
      </c>
      <c r="B7" t="s">
        <v>47</v>
      </c>
      <c r="C7" t="s">
        <v>31</v>
      </c>
      <c r="D7">
        <v>31</v>
      </c>
      <c r="E7">
        <v>5</v>
      </c>
      <c r="F7">
        <v>3</v>
      </c>
      <c r="G7">
        <v>0</v>
      </c>
      <c r="H7">
        <f t="shared" si="0"/>
        <v>8</v>
      </c>
    </row>
    <row r="8" spans="1:8">
      <c r="A8" t="s">
        <v>43</v>
      </c>
      <c r="B8" t="s">
        <v>13</v>
      </c>
      <c r="C8" t="s">
        <v>14</v>
      </c>
      <c r="D8">
        <v>46</v>
      </c>
      <c r="E8">
        <v>4</v>
      </c>
      <c r="F8">
        <v>9</v>
      </c>
      <c r="G8">
        <v>6</v>
      </c>
      <c r="H8">
        <f t="shared" si="0"/>
        <v>13</v>
      </c>
    </row>
    <row r="9" spans="1:8">
      <c r="A9" t="s">
        <v>43</v>
      </c>
      <c r="B9" t="s">
        <v>48</v>
      </c>
      <c r="C9" t="s">
        <v>31</v>
      </c>
      <c r="D9">
        <v>34</v>
      </c>
      <c r="E9">
        <v>3</v>
      </c>
      <c r="F9">
        <v>2</v>
      </c>
      <c r="G9">
        <v>5</v>
      </c>
      <c r="H9">
        <f t="shared" si="0"/>
        <v>5</v>
      </c>
    </row>
    <row r="10" spans="1:8">
      <c r="A10" t="s">
        <v>43</v>
      </c>
      <c r="B10" t="s">
        <v>30</v>
      </c>
      <c r="C10" t="s">
        <v>31</v>
      </c>
      <c r="D10">
        <v>47</v>
      </c>
      <c r="E10">
        <v>2</v>
      </c>
      <c r="F10">
        <v>1</v>
      </c>
      <c r="G10">
        <v>5</v>
      </c>
      <c r="H10">
        <f t="shared" si="0"/>
        <v>3</v>
      </c>
    </row>
    <row r="11" spans="1:8">
      <c r="A11" t="s">
        <v>43</v>
      </c>
      <c r="B11" t="s">
        <v>49</v>
      </c>
      <c r="C11" t="s">
        <v>12</v>
      </c>
      <c r="D11">
        <v>25</v>
      </c>
      <c r="E11">
        <v>2</v>
      </c>
      <c r="F11">
        <v>3</v>
      </c>
      <c r="G11">
        <v>4</v>
      </c>
      <c r="H11">
        <f t="shared" si="0"/>
        <v>5</v>
      </c>
    </row>
    <row r="12" spans="1:8">
      <c r="A12" t="s">
        <v>43</v>
      </c>
      <c r="B12" t="s">
        <v>15</v>
      </c>
      <c r="C12" t="s">
        <v>12</v>
      </c>
      <c r="D12">
        <v>35</v>
      </c>
      <c r="E12">
        <v>2</v>
      </c>
      <c r="F12">
        <v>5</v>
      </c>
      <c r="G12">
        <v>4</v>
      </c>
      <c r="H12">
        <f t="shared" si="0"/>
        <v>7</v>
      </c>
    </row>
    <row r="13" spans="1:8">
      <c r="A13" t="s">
        <v>43</v>
      </c>
      <c r="B13" t="s">
        <v>11</v>
      </c>
      <c r="C13" t="s">
        <v>12</v>
      </c>
      <c r="D13">
        <v>39</v>
      </c>
      <c r="E13">
        <v>2</v>
      </c>
      <c r="F13">
        <v>2</v>
      </c>
      <c r="G13">
        <v>4</v>
      </c>
      <c r="H13">
        <f t="shared" si="0"/>
        <v>4</v>
      </c>
    </row>
    <row r="14" spans="1:8">
      <c r="A14" t="s">
        <v>43</v>
      </c>
      <c r="B14" t="s">
        <v>50</v>
      </c>
      <c r="C14" t="s">
        <v>12</v>
      </c>
      <c r="D14">
        <v>21</v>
      </c>
      <c r="E14">
        <v>2</v>
      </c>
      <c r="F14">
        <v>1</v>
      </c>
      <c r="G14">
        <v>0</v>
      </c>
      <c r="H14">
        <f t="shared" si="0"/>
        <v>3</v>
      </c>
    </row>
    <row r="15" spans="1:8">
      <c r="A15" t="s">
        <v>43</v>
      </c>
      <c r="B15" t="s">
        <v>51</v>
      </c>
      <c r="C15" t="s">
        <v>17</v>
      </c>
      <c r="D15">
        <v>9</v>
      </c>
      <c r="E15">
        <v>1</v>
      </c>
      <c r="F15">
        <v>1</v>
      </c>
      <c r="G15">
        <v>0</v>
      </c>
      <c r="H15">
        <f t="shared" si="0"/>
        <v>2</v>
      </c>
    </row>
    <row r="16" spans="1:8">
      <c r="A16" t="s">
        <v>43</v>
      </c>
      <c r="B16" t="s">
        <v>52</v>
      </c>
      <c r="C16" t="s">
        <v>17</v>
      </c>
      <c r="D16">
        <v>1</v>
      </c>
      <c r="E16">
        <v>1</v>
      </c>
      <c r="F16">
        <v>0</v>
      </c>
      <c r="G16">
        <v>0</v>
      </c>
      <c r="H16">
        <f t="shared" si="0"/>
        <v>1</v>
      </c>
    </row>
    <row r="17" spans="1:8">
      <c r="A17" t="s">
        <v>43</v>
      </c>
      <c r="B17" t="s">
        <v>28</v>
      </c>
      <c r="C17" t="s">
        <v>17</v>
      </c>
      <c r="D17">
        <v>16</v>
      </c>
      <c r="E17">
        <v>1</v>
      </c>
      <c r="F17">
        <v>1</v>
      </c>
      <c r="G17">
        <v>0</v>
      </c>
      <c r="H17">
        <f t="shared" si="0"/>
        <v>2</v>
      </c>
    </row>
    <row r="18" spans="1:8">
      <c r="A18" t="s">
        <v>43</v>
      </c>
      <c r="B18" t="s">
        <v>39</v>
      </c>
      <c r="C18" t="s">
        <v>17</v>
      </c>
      <c r="D18">
        <v>0</v>
      </c>
      <c r="E18">
        <v>0</v>
      </c>
      <c r="F18">
        <v>0</v>
      </c>
      <c r="G18">
        <v>0</v>
      </c>
      <c r="H18">
        <f t="shared" si="0"/>
        <v>0</v>
      </c>
    </row>
    <row r="19" spans="1:8">
      <c r="A19" t="s">
        <v>43</v>
      </c>
      <c r="B19" t="s">
        <v>40</v>
      </c>
      <c r="C19" t="s">
        <v>41</v>
      </c>
      <c r="D19">
        <v>0</v>
      </c>
      <c r="E19">
        <v>0</v>
      </c>
      <c r="F19">
        <v>0</v>
      </c>
      <c r="G19">
        <v>0</v>
      </c>
      <c r="H19">
        <f t="shared" si="0"/>
        <v>0</v>
      </c>
    </row>
    <row r="20" spans="1:8">
      <c r="A20" t="s">
        <v>43</v>
      </c>
      <c r="B20" t="s">
        <v>53</v>
      </c>
      <c r="C20" t="s">
        <v>17</v>
      </c>
      <c r="D20">
        <v>0</v>
      </c>
      <c r="E20">
        <v>0</v>
      </c>
      <c r="F20">
        <v>0</v>
      </c>
      <c r="G20">
        <v>0</v>
      </c>
      <c r="H20">
        <f t="shared" si="0"/>
        <v>0</v>
      </c>
    </row>
    <row r="21" spans="1:8">
      <c r="A21" t="s">
        <v>43</v>
      </c>
      <c r="B21" t="s">
        <v>54</v>
      </c>
      <c r="C21" t="s">
        <v>17</v>
      </c>
      <c r="D21">
        <v>0</v>
      </c>
      <c r="E21">
        <v>0</v>
      </c>
      <c r="F21">
        <v>0</v>
      </c>
      <c r="G21">
        <v>0</v>
      </c>
      <c r="H21">
        <f t="shared" si="0"/>
        <v>0</v>
      </c>
    </row>
    <row r="22" spans="1:8">
      <c r="A22" t="s">
        <v>43</v>
      </c>
      <c r="B22" t="s">
        <v>33</v>
      </c>
      <c r="C22" t="s">
        <v>12</v>
      </c>
      <c r="D22">
        <v>12</v>
      </c>
      <c r="E22">
        <v>0</v>
      </c>
      <c r="F22">
        <v>0</v>
      </c>
      <c r="G22">
        <v>0</v>
      </c>
      <c r="H22">
        <f t="shared" si="0"/>
        <v>0</v>
      </c>
    </row>
    <row r="23" spans="1:8">
      <c r="A23" t="s">
        <v>43</v>
      </c>
      <c r="B23" t="s">
        <v>55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f t="shared" si="0"/>
        <v>0</v>
      </c>
    </row>
    <row r="24" spans="1:8">
      <c r="A24" t="s">
        <v>43</v>
      </c>
      <c r="B24" t="s">
        <v>56</v>
      </c>
      <c r="C24" t="s">
        <v>14</v>
      </c>
      <c r="D24">
        <v>1</v>
      </c>
      <c r="E24">
        <v>0</v>
      </c>
      <c r="F24">
        <v>0</v>
      </c>
      <c r="G24">
        <v>0</v>
      </c>
      <c r="H24">
        <f t="shared" si="0"/>
        <v>0</v>
      </c>
    </row>
    <row r="25" spans="1:8">
      <c r="A25" t="s">
        <v>43</v>
      </c>
      <c r="B25" t="s">
        <v>57</v>
      </c>
      <c r="C25" t="s">
        <v>35</v>
      </c>
      <c r="D25">
        <v>2</v>
      </c>
      <c r="E25">
        <v>0</v>
      </c>
      <c r="F25">
        <v>0</v>
      </c>
      <c r="G25">
        <v>0</v>
      </c>
      <c r="H25">
        <f t="shared" si="0"/>
        <v>0</v>
      </c>
    </row>
    <row r="26" spans="1:8">
      <c r="A26" t="s">
        <v>43</v>
      </c>
      <c r="B26" t="s">
        <v>58</v>
      </c>
      <c r="C26" t="s">
        <v>12</v>
      </c>
      <c r="D26">
        <v>0</v>
      </c>
      <c r="E26">
        <v>0</v>
      </c>
      <c r="F26">
        <v>0</v>
      </c>
      <c r="G26">
        <v>0</v>
      </c>
      <c r="H26">
        <f t="shared" si="0"/>
        <v>0</v>
      </c>
    </row>
    <row r="27" spans="1:8">
      <c r="A27" t="s">
        <v>43</v>
      </c>
      <c r="B27" t="s">
        <v>59</v>
      </c>
      <c r="C27" t="s">
        <v>35</v>
      </c>
      <c r="D27">
        <v>0</v>
      </c>
      <c r="E27">
        <v>0</v>
      </c>
      <c r="F27">
        <v>0</v>
      </c>
      <c r="G27">
        <v>0</v>
      </c>
      <c r="H27">
        <f t="shared" si="0"/>
        <v>0</v>
      </c>
    </row>
    <row r="28" spans="1:8">
      <c r="A28" t="s">
        <v>43</v>
      </c>
      <c r="B28" t="s">
        <v>60</v>
      </c>
      <c r="C28" t="s">
        <v>20</v>
      </c>
      <c r="D28">
        <v>4</v>
      </c>
      <c r="E28">
        <v>0</v>
      </c>
      <c r="F28">
        <v>0</v>
      </c>
      <c r="G28">
        <v>0</v>
      </c>
      <c r="H28">
        <f t="shared" si="0"/>
        <v>0</v>
      </c>
    </row>
    <row r="29" spans="1:8">
      <c r="A29" t="s">
        <v>43</v>
      </c>
      <c r="B29" t="s">
        <v>61</v>
      </c>
      <c r="C29" t="s">
        <v>20</v>
      </c>
      <c r="D29">
        <v>47</v>
      </c>
      <c r="E29">
        <v>0</v>
      </c>
      <c r="F29">
        <v>3</v>
      </c>
      <c r="G29">
        <v>7</v>
      </c>
      <c r="H29">
        <f t="shared" si="0"/>
        <v>3</v>
      </c>
    </row>
    <row r="30" spans="1:8">
      <c r="A30" t="s">
        <v>43</v>
      </c>
      <c r="B30" t="s">
        <v>62</v>
      </c>
      <c r="C30" t="s">
        <v>35</v>
      </c>
      <c r="D30">
        <v>48</v>
      </c>
      <c r="E30">
        <v>0</v>
      </c>
      <c r="F30">
        <v>5</v>
      </c>
      <c r="G30">
        <v>6</v>
      </c>
      <c r="H30">
        <f t="shared" si="0"/>
        <v>5</v>
      </c>
    </row>
    <row r="31" spans="1:8">
      <c r="A31" t="s">
        <v>43</v>
      </c>
      <c r="B31" t="s">
        <v>63</v>
      </c>
      <c r="C31" t="s">
        <v>41</v>
      </c>
      <c r="D31">
        <v>48</v>
      </c>
      <c r="E31">
        <v>0</v>
      </c>
      <c r="F31">
        <v>0</v>
      </c>
      <c r="G31">
        <v>5</v>
      </c>
      <c r="H31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/>
  </sheetViews>
  <sheetFormatPr baseColWidth="10" defaultColWidth="8.83203125" defaultRowHeight="15"/>
  <cols>
    <col min="1" max="1" width="14" customWidth="1"/>
    <col min="2" max="2" width="26" customWidth="1"/>
    <col min="3" max="8" width="14" customWidth="1"/>
  </cols>
  <sheetData>
    <row r="1" spans="1:8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64</v>
      </c>
      <c r="B2" t="s">
        <v>26</v>
      </c>
      <c r="C2" t="s">
        <v>10</v>
      </c>
      <c r="D2">
        <v>40</v>
      </c>
      <c r="E2">
        <v>35</v>
      </c>
      <c r="F2">
        <v>13</v>
      </c>
      <c r="G2">
        <v>4</v>
      </c>
      <c r="H2">
        <f t="shared" ref="H2:H34" si="0">E2+F2</f>
        <v>48</v>
      </c>
    </row>
    <row r="3" spans="1:8">
      <c r="A3" t="s">
        <v>64</v>
      </c>
      <c r="B3" t="s">
        <v>44</v>
      </c>
      <c r="C3" t="s">
        <v>45</v>
      </c>
      <c r="D3">
        <v>41</v>
      </c>
      <c r="E3">
        <v>17</v>
      </c>
      <c r="F3">
        <v>8</v>
      </c>
      <c r="G3">
        <v>5</v>
      </c>
      <c r="H3">
        <f t="shared" si="0"/>
        <v>25</v>
      </c>
    </row>
    <row r="4" spans="1:8">
      <c r="A4" t="s">
        <v>64</v>
      </c>
      <c r="B4" t="s">
        <v>65</v>
      </c>
      <c r="C4" t="s">
        <v>14</v>
      </c>
      <c r="D4">
        <v>47</v>
      </c>
      <c r="E4">
        <v>14</v>
      </c>
      <c r="F4">
        <v>5</v>
      </c>
      <c r="G4">
        <v>6</v>
      </c>
      <c r="H4">
        <f t="shared" si="0"/>
        <v>19</v>
      </c>
    </row>
    <row r="5" spans="1:8">
      <c r="A5" t="s">
        <v>64</v>
      </c>
      <c r="B5" t="s">
        <v>66</v>
      </c>
      <c r="C5" t="s">
        <v>17</v>
      </c>
      <c r="D5">
        <v>43</v>
      </c>
      <c r="E5">
        <v>10</v>
      </c>
      <c r="F5">
        <v>10</v>
      </c>
      <c r="G5">
        <v>5</v>
      </c>
      <c r="H5">
        <f t="shared" si="0"/>
        <v>20</v>
      </c>
    </row>
    <row r="6" spans="1:8">
      <c r="A6" t="s">
        <v>64</v>
      </c>
      <c r="B6" t="s">
        <v>67</v>
      </c>
      <c r="C6" t="s">
        <v>17</v>
      </c>
      <c r="D6">
        <v>31</v>
      </c>
      <c r="E6">
        <v>8</v>
      </c>
      <c r="F6">
        <v>1</v>
      </c>
      <c r="G6">
        <v>3</v>
      </c>
      <c r="H6">
        <f t="shared" si="0"/>
        <v>9</v>
      </c>
    </row>
    <row r="7" spans="1:8">
      <c r="A7" t="s">
        <v>64</v>
      </c>
      <c r="B7" t="s">
        <v>68</v>
      </c>
      <c r="C7" t="s">
        <v>10</v>
      </c>
      <c r="D7">
        <v>25</v>
      </c>
      <c r="E7">
        <v>5</v>
      </c>
      <c r="F7">
        <v>4</v>
      </c>
      <c r="G7">
        <v>3</v>
      </c>
      <c r="H7">
        <f t="shared" si="0"/>
        <v>9</v>
      </c>
    </row>
    <row r="8" spans="1:8">
      <c r="A8" t="s">
        <v>64</v>
      </c>
      <c r="B8" t="s">
        <v>69</v>
      </c>
      <c r="C8" t="s">
        <v>12</v>
      </c>
      <c r="D8">
        <v>29</v>
      </c>
      <c r="E8">
        <v>5</v>
      </c>
      <c r="F8">
        <v>6</v>
      </c>
      <c r="G8">
        <v>4</v>
      </c>
      <c r="H8">
        <f t="shared" si="0"/>
        <v>11</v>
      </c>
    </row>
    <row r="9" spans="1:8">
      <c r="A9" t="s">
        <v>64</v>
      </c>
      <c r="B9" t="s">
        <v>70</v>
      </c>
      <c r="C9" t="s">
        <v>10</v>
      </c>
      <c r="D9">
        <v>14</v>
      </c>
      <c r="E9">
        <v>4</v>
      </c>
      <c r="F9">
        <v>2</v>
      </c>
      <c r="G9">
        <v>1</v>
      </c>
      <c r="H9">
        <f t="shared" si="0"/>
        <v>6</v>
      </c>
    </row>
    <row r="10" spans="1:8">
      <c r="A10" t="s">
        <v>64</v>
      </c>
      <c r="B10" t="s">
        <v>71</v>
      </c>
      <c r="C10" t="s">
        <v>14</v>
      </c>
      <c r="D10">
        <v>17</v>
      </c>
      <c r="E10">
        <v>2</v>
      </c>
      <c r="F10">
        <v>3</v>
      </c>
      <c r="G10">
        <v>3</v>
      </c>
      <c r="H10">
        <f t="shared" si="0"/>
        <v>5</v>
      </c>
    </row>
    <row r="11" spans="1:8">
      <c r="A11" t="s">
        <v>64</v>
      </c>
      <c r="B11" t="s">
        <v>15</v>
      </c>
      <c r="C11" t="s">
        <v>12</v>
      </c>
      <c r="D11">
        <v>50</v>
      </c>
      <c r="E11">
        <v>2</v>
      </c>
      <c r="F11">
        <v>6</v>
      </c>
      <c r="G11">
        <v>10</v>
      </c>
      <c r="H11">
        <f t="shared" si="0"/>
        <v>8</v>
      </c>
    </row>
    <row r="12" spans="1:8">
      <c r="A12" t="s">
        <v>64</v>
      </c>
      <c r="B12" t="s">
        <v>11</v>
      </c>
      <c r="C12" t="s">
        <v>12</v>
      </c>
      <c r="D12">
        <v>10</v>
      </c>
      <c r="E12">
        <v>1</v>
      </c>
      <c r="F12">
        <v>3</v>
      </c>
      <c r="G12">
        <v>0</v>
      </c>
      <c r="H12">
        <f t="shared" si="0"/>
        <v>4</v>
      </c>
    </row>
    <row r="13" spans="1:8">
      <c r="A13" t="s">
        <v>64</v>
      </c>
      <c r="B13" t="s">
        <v>72</v>
      </c>
      <c r="C13" t="s">
        <v>12</v>
      </c>
      <c r="D13">
        <v>23</v>
      </c>
      <c r="E13">
        <v>1</v>
      </c>
      <c r="F13">
        <v>3</v>
      </c>
      <c r="G13">
        <v>0</v>
      </c>
      <c r="H13">
        <f t="shared" si="0"/>
        <v>4</v>
      </c>
    </row>
    <row r="14" spans="1:8">
      <c r="A14" t="s">
        <v>64</v>
      </c>
      <c r="B14" t="s">
        <v>73</v>
      </c>
      <c r="C14" t="s">
        <v>12</v>
      </c>
      <c r="D14">
        <v>17</v>
      </c>
      <c r="E14">
        <v>1</v>
      </c>
      <c r="F14">
        <v>0</v>
      </c>
      <c r="G14">
        <v>1</v>
      </c>
      <c r="H14">
        <f t="shared" si="0"/>
        <v>1</v>
      </c>
    </row>
    <row r="15" spans="1:8">
      <c r="A15" t="s">
        <v>64</v>
      </c>
      <c r="B15" t="s">
        <v>74</v>
      </c>
      <c r="C15" t="s">
        <v>45</v>
      </c>
      <c r="D15">
        <v>40</v>
      </c>
      <c r="E15">
        <v>1</v>
      </c>
      <c r="F15">
        <v>6</v>
      </c>
      <c r="G15">
        <v>3</v>
      </c>
      <c r="H15">
        <f t="shared" si="0"/>
        <v>7</v>
      </c>
    </row>
    <row r="16" spans="1:8">
      <c r="A16" t="s">
        <v>64</v>
      </c>
      <c r="B16" t="s">
        <v>75</v>
      </c>
      <c r="C16" t="s">
        <v>35</v>
      </c>
      <c r="D16">
        <v>21</v>
      </c>
      <c r="E16">
        <v>1</v>
      </c>
      <c r="F16">
        <v>0</v>
      </c>
      <c r="G16">
        <v>0</v>
      </c>
      <c r="H16">
        <f t="shared" si="0"/>
        <v>1</v>
      </c>
    </row>
    <row r="17" spans="1:8">
      <c r="A17" t="s">
        <v>64</v>
      </c>
      <c r="B17" t="s">
        <v>52</v>
      </c>
      <c r="C17" t="s">
        <v>17</v>
      </c>
      <c r="D17">
        <v>40</v>
      </c>
      <c r="E17">
        <v>1</v>
      </c>
      <c r="F17">
        <v>9</v>
      </c>
      <c r="G17">
        <v>3</v>
      </c>
      <c r="H17">
        <f t="shared" si="0"/>
        <v>10</v>
      </c>
    </row>
    <row r="18" spans="1:8">
      <c r="A18" t="s">
        <v>64</v>
      </c>
      <c r="B18" t="s">
        <v>47</v>
      </c>
      <c r="C18" t="s">
        <v>31</v>
      </c>
      <c r="D18">
        <v>39</v>
      </c>
      <c r="E18">
        <v>1</v>
      </c>
      <c r="F18">
        <v>1</v>
      </c>
      <c r="G18">
        <v>3</v>
      </c>
      <c r="H18">
        <f t="shared" si="0"/>
        <v>2</v>
      </c>
    </row>
    <row r="19" spans="1:8">
      <c r="A19" t="s">
        <v>64</v>
      </c>
      <c r="B19" t="s">
        <v>76</v>
      </c>
      <c r="C19" t="s">
        <v>35</v>
      </c>
      <c r="D19">
        <v>58</v>
      </c>
      <c r="E19">
        <v>1</v>
      </c>
      <c r="F19">
        <v>2</v>
      </c>
      <c r="G19">
        <v>10</v>
      </c>
      <c r="H19">
        <f t="shared" si="0"/>
        <v>3</v>
      </c>
    </row>
    <row r="20" spans="1:8">
      <c r="A20" t="s">
        <v>64</v>
      </c>
      <c r="B20" t="s">
        <v>77</v>
      </c>
      <c r="C20" t="s">
        <v>14</v>
      </c>
      <c r="D20">
        <v>0</v>
      </c>
      <c r="E20">
        <v>0</v>
      </c>
      <c r="F20">
        <v>0</v>
      </c>
      <c r="G20">
        <v>0</v>
      </c>
      <c r="H20">
        <f t="shared" si="0"/>
        <v>0</v>
      </c>
    </row>
    <row r="21" spans="1:8">
      <c r="A21" t="s">
        <v>64</v>
      </c>
      <c r="B21" t="s">
        <v>78</v>
      </c>
      <c r="C21" t="s">
        <v>41</v>
      </c>
      <c r="D21">
        <v>2</v>
      </c>
      <c r="E21">
        <v>0</v>
      </c>
      <c r="F21">
        <v>0</v>
      </c>
      <c r="G21">
        <v>1</v>
      </c>
      <c r="H21">
        <f t="shared" si="0"/>
        <v>0</v>
      </c>
    </row>
    <row r="22" spans="1:8">
      <c r="A22" t="s">
        <v>64</v>
      </c>
      <c r="B22" t="s">
        <v>79</v>
      </c>
      <c r="C22" t="s">
        <v>12</v>
      </c>
      <c r="D22">
        <v>19</v>
      </c>
      <c r="E22">
        <v>0</v>
      </c>
      <c r="F22">
        <v>6</v>
      </c>
      <c r="G22">
        <v>3</v>
      </c>
      <c r="H22">
        <f t="shared" si="0"/>
        <v>6</v>
      </c>
    </row>
    <row r="23" spans="1:8">
      <c r="A23" t="s">
        <v>64</v>
      </c>
      <c r="B23" t="s">
        <v>60</v>
      </c>
      <c r="C23" t="s">
        <v>20</v>
      </c>
      <c r="D23">
        <v>2</v>
      </c>
      <c r="E23">
        <v>0</v>
      </c>
      <c r="F23">
        <v>0</v>
      </c>
      <c r="G23">
        <v>0</v>
      </c>
      <c r="H23">
        <f t="shared" si="0"/>
        <v>0</v>
      </c>
    </row>
    <row r="24" spans="1:8">
      <c r="A24" t="s">
        <v>64</v>
      </c>
      <c r="B24" t="s">
        <v>80</v>
      </c>
      <c r="C24" t="s">
        <v>12</v>
      </c>
      <c r="D24">
        <v>14</v>
      </c>
      <c r="E24">
        <v>0</v>
      </c>
      <c r="F24">
        <v>1</v>
      </c>
      <c r="G24">
        <v>1</v>
      </c>
      <c r="H24">
        <f t="shared" si="0"/>
        <v>1</v>
      </c>
    </row>
    <row r="25" spans="1:8">
      <c r="A25" t="s">
        <v>64</v>
      </c>
      <c r="B25" t="s">
        <v>30</v>
      </c>
      <c r="C25" t="s">
        <v>31</v>
      </c>
      <c r="D25">
        <v>46</v>
      </c>
      <c r="E25">
        <v>0</v>
      </c>
      <c r="F25">
        <v>2</v>
      </c>
      <c r="G25">
        <v>6</v>
      </c>
      <c r="H25">
        <f t="shared" si="0"/>
        <v>2</v>
      </c>
    </row>
    <row r="26" spans="1:8">
      <c r="A26" t="s">
        <v>64</v>
      </c>
      <c r="B26" t="s">
        <v>81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f t="shared" si="0"/>
        <v>0</v>
      </c>
    </row>
    <row r="27" spans="1:8">
      <c r="A27" t="s">
        <v>64</v>
      </c>
      <c r="B27" t="s">
        <v>82</v>
      </c>
      <c r="C27" t="s">
        <v>10</v>
      </c>
      <c r="D27">
        <v>0</v>
      </c>
      <c r="E27">
        <v>0</v>
      </c>
      <c r="F27">
        <v>0</v>
      </c>
      <c r="G27">
        <v>0</v>
      </c>
      <c r="H27">
        <f t="shared" si="0"/>
        <v>0</v>
      </c>
    </row>
    <row r="28" spans="1:8">
      <c r="A28" t="s">
        <v>64</v>
      </c>
      <c r="B28" t="s">
        <v>83</v>
      </c>
      <c r="C28" t="s">
        <v>31</v>
      </c>
      <c r="D28">
        <v>0</v>
      </c>
      <c r="E28">
        <v>0</v>
      </c>
      <c r="F28">
        <v>0</v>
      </c>
      <c r="G28">
        <v>0</v>
      </c>
      <c r="H28">
        <f t="shared" si="0"/>
        <v>0</v>
      </c>
    </row>
    <row r="29" spans="1:8">
      <c r="A29" t="s">
        <v>64</v>
      </c>
      <c r="B29" t="s">
        <v>84</v>
      </c>
      <c r="C29" t="s">
        <v>10</v>
      </c>
      <c r="D29">
        <v>0</v>
      </c>
      <c r="E29">
        <v>0</v>
      </c>
      <c r="F29">
        <v>0</v>
      </c>
      <c r="G29">
        <v>0</v>
      </c>
      <c r="H29">
        <f t="shared" si="0"/>
        <v>0</v>
      </c>
    </row>
    <row r="30" spans="1:8">
      <c r="A30" t="s">
        <v>64</v>
      </c>
      <c r="B30" t="s">
        <v>85</v>
      </c>
      <c r="C30" t="s">
        <v>10</v>
      </c>
      <c r="D30">
        <v>2</v>
      </c>
      <c r="E30">
        <v>0</v>
      </c>
      <c r="F30">
        <v>0</v>
      </c>
      <c r="G30">
        <v>0</v>
      </c>
      <c r="H30">
        <f t="shared" si="0"/>
        <v>0</v>
      </c>
    </row>
    <row r="31" spans="1:8">
      <c r="A31" t="s">
        <v>64</v>
      </c>
      <c r="B31" t="s">
        <v>86</v>
      </c>
      <c r="C31" t="s">
        <v>31</v>
      </c>
      <c r="D31">
        <v>32</v>
      </c>
      <c r="E31">
        <v>0</v>
      </c>
      <c r="F31">
        <v>0</v>
      </c>
      <c r="G31">
        <v>3</v>
      </c>
      <c r="H31">
        <f t="shared" si="0"/>
        <v>0</v>
      </c>
    </row>
    <row r="32" spans="1:8">
      <c r="A32" t="s">
        <v>64</v>
      </c>
      <c r="B32" t="s">
        <v>87</v>
      </c>
      <c r="C32" t="s">
        <v>20</v>
      </c>
      <c r="D32">
        <v>57</v>
      </c>
      <c r="E32">
        <v>0</v>
      </c>
      <c r="F32">
        <v>1</v>
      </c>
      <c r="G32">
        <v>8</v>
      </c>
      <c r="H32">
        <f t="shared" si="0"/>
        <v>1</v>
      </c>
    </row>
    <row r="33" spans="1:8">
      <c r="A33" t="s">
        <v>64</v>
      </c>
      <c r="B33" t="s">
        <v>88</v>
      </c>
      <c r="C33" t="s">
        <v>31</v>
      </c>
      <c r="D33">
        <v>33</v>
      </c>
      <c r="E33">
        <v>0</v>
      </c>
      <c r="F33">
        <v>0</v>
      </c>
      <c r="G33">
        <v>4</v>
      </c>
      <c r="H33">
        <f t="shared" si="0"/>
        <v>0</v>
      </c>
    </row>
    <row r="34" spans="1:8">
      <c r="A34" t="s">
        <v>64</v>
      </c>
      <c r="B34" t="s">
        <v>89</v>
      </c>
      <c r="C34" t="s">
        <v>41</v>
      </c>
      <c r="D34">
        <v>54</v>
      </c>
      <c r="E34">
        <v>0</v>
      </c>
      <c r="F34">
        <v>1</v>
      </c>
      <c r="G34">
        <v>8</v>
      </c>
      <c r="H34">
        <f t="shared" si="0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workbookViewId="0"/>
  </sheetViews>
  <sheetFormatPr baseColWidth="10" defaultColWidth="8.83203125" defaultRowHeight="15"/>
  <cols>
    <col min="1" max="1" width="14" customWidth="1"/>
    <col min="2" max="2" width="26" customWidth="1"/>
    <col min="3" max="8" width="14" customWidth="1"/>
  </cols>
  <sheetData>
    <row r="1" spans="1:8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90</v>
      </c>
      <c r="B2" t="s">
        <v>91</v>
      </c>
      <c r="C2" t="s">
        <v>10</v>
      </c>
      <c r="D2">
        <v>33</v>
      </c>
      <c r="E2">
        <v>43</v>
      </c>
      <c r="F2">
        <v>5</v>
      </c>
      <c r="G2">
        <v>4</v>
      </c>
      <c r="H2">
        <f t="shared" ref="H2:H31" si="0">E2+F2</f>
        <v>48</v>
      </c>
    </row>
    <row r="3" spans="1:8">
      <c r="A3" t="s">
        <v>90</v>
      </c>
      <c r="B3" t="s">
        <v>92</v>
      </c>
      <c r="C3" t="s">
        <v>10</v>
      </c>
      <c r="D3">
        <v>43</v>
      </c>
      <c r="E3">
        <v>24</v>
      </c>
      <c r="F3">
        <v>5</v>
      </c>
      <c r="G3">
        <v>0</v>
      </c>
      <c r="H3">
        <f t="shared" si="0"/>
        <v>29</v>
      </c>
    </row>
    <row r="4" spans="1:8">
      <c r="A4" t="s">
        <v>90</v>
      </c>
      <c r="B4" t="s">
        <v>66</v>
      </c>
      <c r="C4" t="s">
        <v>17</v>
      </c>
      <c r="D4">
        <v>49</v>
      </c>
      <c r="E4">
        <v>16</v>
      </c>
      <c r="F4">
        <v>25</v>
      </c>
      <c r="G4">
        <v>6</v>
      </c>
      <c r="H4">
        <f t="shared" si="0"/>
        <v>41</v>
      </c>
    </row>
    <row r="5" spans="1:8">
      <c r="A5" t="s">
        <v>90</v>
      </c>
      <c r="B5" t="s">
        <v>44</v>
      </c>
      <c r="C5" t="s">
        <v>45</v>
      </c>
      <c r="D5">
        <v>44</v>
      </c>
      <c r="E5">
        <v>13</v>
      </c>
      <c r="F5">
        <v>17</v>
      </c>
      <c r="G5">
        <v>5</v>
      </c>
      <c r="H5">
        <f t="shared" si="0"/>
        <v>30</v>
      </c>
    </row>
    <row r="6" spans="1:8">
      <c r="A6" t="s">
        <v>90</v>
      </c>
      <c r="B6" t="s">
        <v>65</v>
      </c>
      <c r="C6" t="s">
        <v>14</v>
      </c>
      <c r="D6">
        <v>36</v>
      </c>
      <c r="E6">
        <v>12</v>
      </c>
      <c r="F6">
        <v>13</v>
      </c>
      <c r="G6">
        <v>5</v>
      </c>
      <c r="H6">
        <f t="shared" si="0"/>
        <v>25</v>
      </c>
    </row>
    <row r="7" spans="1:8">
      <c r="A7" t="s">
        <v>90</v>
      </c>
      <c r="B7" t="s">
        <v>93</v>
      </c>
      <c r="C7" t="s">
        <v>45</v>
      </c>
      <c r="D7">
        <v>35</v>
      </c>
      <c r="E7">
        <v>9</v>
      </c>
      <c r="F7">
        <v>9</v>
      </c>
      <c r="G7">
        <v>1</v>
      </c>
      <c r="H7">
        <f t="shared" si="0"/>
        <v>18</v>
      </c>
    </row>
    <row r="8" spans="1:8">
      <c r="A8" t="s">
        <v>90</v>
      </c>
      <c r="B8" t="s">
        <v>94</v>
      </c>
      <c r="C8" t="s">
        <v>12</v>
      </c>
      <c r="D8">
        <v>24</v>
      </c>
      <c r="E8">
        <v>8</v>
      </c>
      <c r="F8">
        <v>2</v>
      </c>
      <c r="G8">
        <v>2</v>
      </c>
      <c r="H8">
        <f t="shared" si="0"/>
        <v>10</v>
      </c>
    </row>
    <row r="9" spans="1:8">
      <c r="A9" t="s">
        <v>90</v>
      </c>
      <c r="B9" t="s">
        <v>70</v>
      </c>
      <c r="C9" t="s">
        <v>10</v>
      </c>
      <c r="D9">
        <v>11</v>
      </c>
      <c r="E9">
        <v>7</v>
      </c>
      <c r="F9">
        <v>4</v>
      </c>
      <c r="G9">
        <v>0</v>
      </c>
      <c r="H9">
        <f t="shared" si="0"/>
        <v>11</v>
      </c>
    </row>
    <row r="10" spans="1:8">
      <c r="A10" t="s">
        <v>90</v>
      </c>
      <c r="B10" t="s">
        <v>13</v>
      </c>
      <c r="C10" t="s">
        <v>14</v>
      </c>
      <c r="D10">
        <v>43</v>
      </c>
      <c r="E10">
        <v>4</v>
      </c>
      <c r="F10">
        <v>11</v>
      </c>
      <c r="G10">
        <v>0</v>
      </c>
      <c r="H10">
        <f t="shared" si="0"/>
        <v>15</v>
      </c>
    </row>
    <row r="11" spans="1:8">
      <c r="A11" t="s">
        <v>90</v>
      </c>
      <c r="B11" t="s">
        <v>15</v>
      </c>
      <c r="C11" t="s">
        <v>12</v>
      </c>
      <c r="D11">
        <v>48</v>
      </c>
      <c r="E11">
        <v>3</v>
      </c>
      <c r="F11">
        <v>8</v>
      </c>
      <c r="G11">
        <v>6</v>
      </c>
      <c r="H11">
        <f t="shared" si="0"/>
        <v>11</v>
      </c>
    </row>
    <row r="12" spans="1:8">
      <c r="A12" t="s">
        <v>90</v>
      </c>
      <c r="B12" t="s">
        <v>95</v>
      </c>
      <c r="C12" t="s">
        <v>12</v>
      </c>
      <c r="D12">
        <v>32</v>
      </c>
      <c r="E12">
        <v>2</v>
      </c>
      <c r="F12">
        <v>3</v>
      </c>
      <c r="G12">
        <v>0</v>
      </c>
      <c r="H12">
        <f t="shared" si="0"/>
        <v>5</v>
      </c>
    </row>
    <row r="13" spans="1:8">
      <c r="A13" t="s">
        <v>90</v>
      </c>
      <c r="B13" t="s">
        <v>96</v>
      </c>
      <c r="C13" t="s">
        <v>35</v>
      </c>
      <c r="D13">
        <v>48</v>
      </c>
      <c r="E13">
        <v>1</v>
      </c>
      <c r="F13">
        <v>3</v>
      </c>
      <c r="G13">
        <v>6</v>
      </c>
      <c r="H13">
        <f t="shared" si="0"/>
        <v>4</v>
      </c>
    </row>
    <row r="14" spans="1:8">
      <c r="A14" t="s">
        <v>90</v>
      </c>
      <c r="B14" t="s">
        <v>47</v>
      </c>
      <c r="C14" t="s">
        <v>31</v>
      </c>
      <c r="D14">
        <v>44</v>
      </c>
      <c r="E14">
        <v>1</v>
      </c>
      <c r="F14">
        <v>0</v>
      </c>
      <c r="G14">
        <v>6</v>
      </c>
      <c r="H14">
        <f t="shared" si="0"/>
        <v>1</v>
      </c>
    </row>
    <row r="15" spans="1:8">
      <c r="A15" t="s">
        <v>90</v>
      </c>
      <c r="B15" t="s">
        <v>97</v>
      </c>
      <c r="C15" t="s">
        <v>17</v>
      </c>
      <c r="D15">
        <v>33</v>
      </c>
      <c r="E15">
        <v>1</v>
      </c>
      <c r="F15">
        <v>4</v>
      </c>
      <c r="G15">
        <v>0</v>
      </c>
      <c r="H15">
        <f t="shared" si="0"/>
        <v>5</v>
      </c>
    </row>
    <row r="16" spans="1:8">
      <c r="A16" t="s">
        <v>90</v>
      </c>
      <c r="B16" t="s">
        <v>30</v>
      </c>
      <c r="C16" t="s">
        <v>31</v>
      </c>
      <c r="D16">
        <v>22</v>
      </c>
      <c r="E16">
        <v>1</v>
      </c>
      <c r="F16">
        <v>1</v>
      </c>
      <c r="G16">
        <v>3</v>
      </c>
      <c r="H16">
        <f t="shared" si="0"/>
        <v>2</v>
      </c>
    </row>
    <row r="17" spans="1:8">
      <c r="A17" t="s">
        <v>90</v>
      </c>
      <c r="B17" t="s">
        <v>38</v>
      </c>
      <c r="C17" t="s">
        <v>14</v>
      </c>
      <c r="D17">
        <v>0</v>
      </c>
      <c r="E17">
        <v>0</v>
      </c>
      <c r="F17">
        <v>0</v>
      </c>
      <c r="G17">
        <v>0</v>
      </c>
      <c r="H17">
        <f t="shared" si="0"/>
        <v>0</v>
      </c>
    </row>
    <row r="18" spans="1:8">
      <c r="A18" t="s">
        <v>90</v>
      </c>
      <c r="B18" t="s">
        <v>85</v>
      </c>
      <c r="C18" t="s">
        <v>10</v>
      </c>
      <c r="D18">
        <v>2</v>
      </c>
      <c r="E18">
        <v>0</v>
      </c>
      <c r="F18">
        <v>0</v>
      </c>
      <c r="G18">
        <v>0</v>
      </c>
      <c r="H18">
        <f t="shared" si="0"/>
        <v>0</v>
      </c>
    </row>
    <row r="19" spans="1:8">
      <c r="A19" t="s">
        <v>90</v>
      </c>
      <c r="B19" t="s">
        <v>36</v>
      </c>
      <c r="C19" t="s">
        <v>14</v>
      </c>
      <c r="D19">
        <v>0</v>
      </c>
      <c r="E19">
        <v>0</v>
      </c>
      <c r="F19">
        <v>0</v>
      </c>
      <c r="G19">
        <v>0</v>
      </c>
      <c r="H19">
        <f t="shared" si="0"/>
        <v>0</v>
      </c>
    </row>
    <row r="20" spans="1:8">
      <c r="A20" t="s">
        <v>90</v>
      </c>
      <c r="B20" t="s">
        <v>98</v>
      </c>
      <c r="C20" t="s">
        <v>20</v>
      </c>
      <c r="D20">
        <v>0</v>
      </c>
      <c r="E20">
        <v>0</v>
      </c>
      <c r="F20">
        <v>0</v>
      </c>
      <c r="G20">
        <v>0</v>
      </c>
      <c r="H20">
        <f t="shared" si="0"/>
        <v>0</v>
      </c>
    </row>
    <row r="21" spans="1:8">
      <c r="A21" t="s">
        <v>90</v>
      </c>
      <c r="B21" t="s">
        <v>99</v>
      </c>
      <c r="C21" t="s">
        <v>20</v>
      </c>
      <c r="D21">
        <v>0</v>
      </c>
      <c r="E21">
        <v>0</v>
      </c>
      <c r="F21">
        <v>0</v>
      </c>
      <c r="G21">
        <v>0</v>
      </c>
      <c r="H21">
        <f t="shared" si="0"/>
        <v>0</v>
      </c>
    </row>
    <row r="22" spans="1:8">
      <c r="A22" t="s">
        <v>90</v>
      </c>
      <c r="B22" t="s">
        <v>86</v>
      </c>
      <c r="C22" t="s">
        <v>31</v>
      </c>
      <c r="D22">
        <v>2</v>
      </c>
      <c r="E22">
        <v>0</v>
      </c>
      <c r="F22">
        <v>0</v>
      </c>
      <c r="G22">
        <v>0</v>
      </c>
      <c r="H22">
        <f t="shared" si="0"/>
        <v>0</v>
      </c>
    </row>
    <row r="23" spans="1:8">
      <c r="A23" t="s">
        <v>90</v>
      </c>
      <c r="B23" t="s">
        <v>100</v>
      </c>
      <c r="C23" t="s">
        <v>20</v>
      </c>
      <c r="D23">
        <v>1</v>
      </c>
      <c r="E23">
        <v>0</v>
      </c>
      <c r="F23">
        <v>0</v>
      </c>
      <c r="G23">
        <v>0</v>
      </c>
      <c r="H23">
        <f t="shared" si="0"/>
        <v>0</v>
      </c>
    </row>
    <row r="24" spans="1:8">
      <c r="A24" t="s">
        <v>90</v>
      </c>
      <c r="B24" t="s">
        <v>101</v>
      </c>
      <c r="C24" t="s">
        <v>45</v>
      </c>
      <c r="D24">
        <v>3</v>
      </c>
      <c r="E24">
        <v>0</v>
      </c>
      <c r="F24">
        <v>2</v>
      </c>
      <c r="G24">
        <v>0</v>
      </c>
      <c r="H24">
        <f t="shared" si="0"/>
        <v>2</v>
      </c>
    </row>
    <row r="25" spans="1:8">
      <c r="A25" t="s">
        <v>90</v>
      </c>
      <c r="B25" t="s">
        <v>73</v>
      </c>
      <c r="C25" t="s">
        <v>12</v>
      </c>
      <c r="D25">
        <v>12</v>
      </c>
      <c r="E25">
        <v>0</v>
      </c>
      <c r="F25">
        <v>2</v>
      </c>
      <c r="G25">
        <v>0</v>
      </c>
      <c r="H25">
        <f t="shared" si="0"/>
        <v>2</v>
      </c>
    </row>
    <row r="26" spans="1:8">
      <c r="A26" t="s">
        <v>90</v>
      </c>
      <c r="B26" t="s">
        <v>88</v>
      </c>
      <c r="C26" t="s">
        <v>31</v>
      </c>
      <c r="D26">
        <v>8</v>
      </c>
      <c r="E26">
        <v>0</v>
      </c>
      <c r="F26">
        <v>0</v>
      </c>
      <c r="G26">
        <v>0</v>
      </c>
      <c r="H26">
        <f t="shared" si="0"/>
        <v>0</v>
      </c>
    </row>
    <row r="27" spans="1:8">
      <c r="A27" t="s">
        <v>90</v>
      </c>
      <c r="B27" t="s">
        <v>102</v>
      </c>
      <c r="C27" t="s">
        <v>31</v>
      </c>
      <c r="D27">
        <v>23</v>
      </c>
      <c r="E27">
        <v>0</v>
      </c>
      <c r="F27">
        <v>1</v>
      </c>
      <c r="G27">
        <v>0</v>
      </c>
      <c r="H27">
        <f t="shared" si="0"/>
        <v>1</v>
      </c>
    </row>
    <row r="28" spans="1:8">
      <c r="A28" t="s">
        <v>90</v>
      </c>
      <c r="B28" t="s">
        <v>103</v>
      </c>
      <c r="C28" t="s">
        <v>35</v>
      </c>
      <c r="D28">
        <v>13</v>
      </c>
      <c r="E28">
        <v>0</v>
      </c>
      <c r="F28">
        <v>0</v>
      </c>
      <c r="G28">
        <v>0</v>
      </c>
      <c r="H28">
        <f t="shared" si="0"/>
        <v>0</v>
      </c>
    </row>
    <row r="29" spans="1:8">
      <c r="A29" t="s">
        <v>90</v>
      </c>
      <c r="B29" t="s">
        <v>87</v>
      </c>
      <c r="C29" t="s">
        <v>20</v>
      </c>
      <c r="D29">
        <v>47</v>
      </c>
      <c r="E29">
        <v>0</v>
      </c>
      <c r="F29">
        <v>2</v>
      </c>
      <c r="G29">
        <v>5</v>
      </c>
      <c r="H29">
        <f t="shared" si="0"/>
        <v>2</v>
      </c>
    </row>
    <row r="30" spans="1:8">
      <c r="A30" t="s">
        <v>90</v>
      </c>
      <c r="B30" t="s">
        <v>48</v>
      </c>
      <c r="C30" t="s">
        <v>31</v>
      </c>
      <c r="D30">
        <v>48</v>
      </c>
      <c r="E30">
        <v>0</v>
      </c>
      <c r="F30">
        <v>0</v>
      </c>
      <c r="G30">
        <v>5</v>
      </c>
      <c r="H30">
        <f t="shared" si="0"/>
        <v>0</v>
      </c>
    </row>
    <row r="31" spans="1:8">
      <c r="A31" t="s">
        <v>90</v>
      </c>
      <c r="B31" t="s">
        <v>104</v>
      </c>
      <c r="C31" t="s">
        <v>41</v>
      </c>
      <c r="D31">
        <v>46</v>
      </c>
      <c r="E31">
        <v>0</v>
      </c>
      <c r="F31">
        <v>0</v>
      </c>
      <c r="G31">
        <v>5</v>
      </c>
      <c r="H31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4"/>
  <sheetViews>
    <sheetView workbookViewId="0"/>
  </sheetViews>
  <sheetFormatPr baseColWidth="10" defaultColWidth="8.83203125" defaultRowHeight="15"/>
  <cols>
    <col min="1" max="1" width="14" customWidth="1"/>
    <col min="2" max="2" width="26" customWidth="1"/>
    <col min="3" max="8" width="14" customWidth="1"/>
  </cols>
  <sheetData>
    <row r="1" spans="1:8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53</v>
      </c>
      <c r="E2">
        <v>52</v>
      </c>
      <c r="F2">
        <v>11</v>
      </c>
      <c r="G2">
        <v>11</v>
      </c>
      <c r="H2">
        <f t="shared" ref="H2:H33" si="0">E2+F2</f>
        <v>63</v>
      </c>
    </row>
    <row r="3" spans="1:8">
      <c r="A3" t="s">
        <v>8</v>
      </c>
      <c r="B3" t="s">
        <v>11</v>
      </c>
      <c r="C3" t="s">
        <v>12</v>
      </c>
      <c r="D3">
        <v>53</v>
      </c>
      <c r="E3">
        <v>25</v>
      </c>
      <c r="F3">
        <v>17</v>
      </c>
      <c r="G3">
        <v>15</v>
      </c>
      <c r="H3">
        <f t="shared" si="0"/>
        <v>42</v>
      </c>
    </row>
    <row r="4" spans="1:8">
      <c r="A4" t="s">
        <v>8</v>
      </c>
      <c r="B4" t="s">
        <v>13</v>
      </c>
      <c r="C4" t="s">
        <v>14</v>
      </c>
      <c r="D4">
        <v>52</v>
      </c>
      <c r="E4">
        <v>23</v>
      </c>
      <c r="F4">
        <v>10</v>
      </c>
      <c r="G4">
        <v>15</v>
      </c>
      <c r="H4">
        <f t="shared" si="0"/>
        <v>33</v>
      </c>
    </row>
    <row r="5" spans="1:8">
      <c r="A5" t="s">
        <v>8</v>
      </c>
      <c r="B5" t="s">
        <v>15</v>
      </c>
      <c r="C5" t="s">
        <v>12</v>
      </c>
      <c r="D5">
        <v>51</v>
      </c>
      <c r="E5">
        <v>18</v>
      </c>
      <c r="F5">
        <v>15</v>
      </c>
      <c r="G5">
        <v>15</v>
      </c>
      <c r="H5">
        <f t="shared" si="0"/>
        <v>33</v>
      </c>
    </row>
    <row r="6" spans="1:8">
      <c r="A6" t="s">
        <v>8</v>
      </c>
      <c r="B6" t="s">
        <v>16</v>
      </c>
      <c r="C6" t="s">
        <v>17</v>
      </c>
      <c r="D6">
        <v>52</v>
      </c>
      <c r="E6">
        <v>12</v>
      </c>
      <c r="F6">
        <v>17</v>
      </c>
      <c r="G6">
        <v>12</v>
      </c>
      <c r="H6">
        <f t="shared" si="0"/>
        <v>29</v>
      </c>
    </row>
    <row r="7" spans="1:8">
      <c r="A7" t="s">
        <v>8</v>
      </c>
      <c r="B7" t="s">
        <v>18</v>
      </c>
      <c r="C7" t="s">
        <v>10</v>
      </c>
      <c r="D7">
        <v>23</v>
      </c>
      <c r="E7">
        <v>6</v>
      </c>
      <c r="F7">
        <v>1</v>
      </c>
      <c r="G7">
        <v>0</v>
      </c>
      <c r="H7">
        <f t="shared" si="0"/>
        <v>7</v>
      </c>
    </row>
    <row r="8" spans="1:8">
      <c r="A8" t="s">
        <v>8</v>
      </c>
      <c r="B8" t="s">
        <v>19</v>
      </c>
      <c r="C8" t="s">
        <v>20</v>
      </c>
      <c r="D8">
        <v>52</v>
      </c>
      <c r="E8">
        <v>4</v>
      </c>
      <c r="F8">
        <v>12</v>
      </c>
      <c r="G8">
        <v>15</v>
      </c>
      <c r="H8">
        <f t="shared" si="0"/>
        <v>16</v>
      </c>
    </row>
    <row r="9" spans="1:8">
      <c r="A9" t="s">
        <v>8</v>
      </c>
      <c r="B9" t="s">
        <v>21</v>
      </c>
      <c r="C9" t="s">
        <v>22</v>
      </c>
      <c r="D9">
        <v>52</v>
      </c>
      <c r="E9">
        <v>2</v>
      </c>
      <c r="F9">
        <v>5</v>
      </c>
      <c r="G9">
        <v>13</v>
      </c>
      <c r="H9">
        <f t="shared" si="0"/>
        <v>7</v>
      </c>
    </row>
    <row r="10" spans="1:8">
      <c r="A10" t="s">
        <v>8</v>
      </c>
      <c r="B10" t="s">
        <v>23</v>
      </c>
      <c r="C10" t="s">
        <v>12</v>
      </c>
      <c r="D10">
        <v>29</v>
      </c>
      <c r="E10">
        <v>2</v>
      </c>
      <c r="F10">
        <v>3</v>
      </c>
      <c r="G10">
        <v>1</v>
      </c>
      <c r="H10">
        <f t="shared" si="0"/>
        <v>5</v>
      </c>
    </row>
    <row r="11" spans="1:8">
      <c r="A11" t="s">
        <v>8</v>
      </c>
      <c r="B11" t="s">
        <v>24</v>
      </c>
      <c r="C11" t="s">
        <v>10</v>
      </c>
      <c r="D11">
        <v>10</v>
      </c>
      <c r="E11">
        <v>2</v>
      </c>
      <c r="F11">
        <v>0</v>
      </c>
      <c r="G11">
        <v>0</v>
      </c>
      <c r="H11">
        <f t="shared" si="0"/>
        <v>2</v>
      </c>
    </row>
    <row r="12" spans="1:8">
      <c r="A12" t="s">
        <v>25</v>
      </c>
      <c r="B12" t="s">
        <v>9</v>
      </c>
      <c r="C12" t="s">
        <v>10</v>
      </c>
      <c r="D12">
        <v>45</v>
      </c>
      <c r="E12">
        <v>31</v>
      </c>
      <c r="F12">
        <v>7</v>
      </c>
      <c r="G12">
        <v>5</v>
      </c>
      <c r="H12">
        <f t="shared" si="0"/>
        <v>38</v>
      </c>
    </row>
    <row r="13" spans="1:8">
      <c r="A13" t="s">
        <v>25</v>
      </c>
      <c r="B13" t="s">
        <v>16</v>
      </c>
      <c r="C13" t="s">
        <v>17</v>
      </c>
      <c r="D13">
        <v>34</v>
      </c>
      <c r="E13">
        <v>13</v>
      </c>
      <c r="F13">
        <v>8</v>
      </c>
      <c r="G13">
        <v>5</v>
      </c>
      <c r="H13">
        <f t="shared" si="0"/>
        <v>21</v>
      </c>
    </row>
    <row r="14" spans="1:8">
      <c r="A14" t="s">
        <v>25</v>
      </c>
      <c r="B14" t="s">
        <v>26</v>
      </c>
      <c r="C14" t="s">
        <v>10</v>
      </c>
      <c r="D14">
        <v>27</v>
      </c>
      <c r="E14">
        <v>13</v>
      </c>
      <c r="F14">
        <v>5</v>
      </c>
      <c r="G14">
        <v>0</v>
      </c>
      <c r="H14">
        <f t="shared" si="0"/>
        <v>18</v>
      </c>
    </row>
    <row r="15" spans="1:8">
      <c r="A15" t="s">
        <v>25</v>
      </c>
      <c r="B15" t="s">
        <v>15</v>
      </c>
      <c r="C15" t="s">
        <v>12</v>
      </c>
      <c r="D15">
        <v>45</v>
      </c>
      <c r="E15">
        <v>6</v>
      </c>
      <c r="F15">
        <v>10</v>
      </c>
      <c r="G15">
        <v>6</v>
      </c>
      <c r="H15">
        <f t="shared" si="0"/>
        <v>16</v>
      </c>
    </row>
    <row r="16" spans="1:8">
      <c r="A16" t="s">
        <v>25</v>
      </c>
      <c r="B16" t="s">
        <v>27</v>
      </c>
      <c r="C16" t="s">
        <v>14</v>
      </c>
      <c r="D16">
        <v>22</v>
      </c>
      <c r="E16">
        <v>5</v>
      </c>
      <c r="F16">
        <v>8</v>
      </c>
      <c r="G16">
        <v>3</v>
      </c>
      <c r="H16">
        <f t="shared" si="0"/>
        <v>13</v>
      </c>
    </row>
    <row r="17" spans="1:8">
      <c r="A17" t="s">
        <v>25</v>
      </c>
      <c r="B17" t="s">
        <v>28</v>
      </c>
      <c r="C17" t="s">
        <v>14</v>
      </c>
      <c r="D17">
        <v>22</v>
      </c>
      <c r="E17">
        <v>5</v>
      </c>
      <c r="F17">
        <v>1</v>
      </c>
      <c r="G17">
        <v>0</v>
      </c>
      <c r="H17">
        <f t="shared" si="0"/>
        <v>6</v>
      </c>
    </row>
    <row r="18" spans="1:8">
      <c r="A18" t="s">
        <v>25</v>
      </c>
      <c r="B18" t="s">
        <v>11</v>
      </c>
      <c r="C18" t="s">
        <v>12</v>
      </c>
      <c r="D18">
        <v>27</v>
      </c>
      <c r="E18">
        <v>4</v>
      </c>
      <c r="F18">
        <v>4</v>
      </c>
      <c r="G18">
        <v>3</v>
      </c>
      <c r="H18">
        <f t="shared" si="0"/>
        <v>8</v>
      </c>
    </row>
    <row r="19" spans="1:8">
      <c r="A19" t="s">
        <v>25</v>
      </c>
      <c r="B19" t="s">
        <v>29</v>
      </c>
      <c r="C19" t="s">
        <v>12</v>
      </c>
      <c r="D19">
        <v>28</v>
      </c>
      <c r="E19">
        <v>4</v>
      </c>
      <c r="F19">
        <v>3</v>
      </c>
      <c r="G19">
        <v>2</v>
      </c>
      <c r="H19">
        <f t="shared" si="0"/>
        <v>7</v>
      </c>
    </row>
    <row r="20" spans="1:8">
      <c r="A20" t="s">
        <v>25</v>
      </c>
      <c r="B20" t="s">
        <v>13</v>
      </c>
      <c r="C20" t="s">
        <v>14</v>
      </c>
      <c r="D20">
        <v>13</v>
      </c>
      <c r="E20">
        <v>2</v>
      </c>
      <c r="F20">
        <v>4</v>
      </c>
      <c r="G20">
        <v>3</v>
      </c>
      <c r="H20">
        <f t="shared" si="0"/>
        <v>6</v>
      </c>
    </row>
    <row r="21" spans="1:8">
      <c r="A21" t="s">
        <v>25</v>
      </c>
      <c r="B21" t="s">
        <v>19</v>
      </c>
      <c r="C21" t="s">
        <v>20</v>
      </c>
      <c r="D21">
        <v>35</v>
      </c>
      <c r="E21">
        <v>1</v>
      </c>
      <c r="F21">
        <v>1</v>
      </c>
      <c r="G21">
        <v>3</v>
      </c>
      <c r="H21">
        <f t="shared" si="0"/>
        <v>2</v>
      </c>
    </row>
    <row r="22" spans="1:8">
      <c r="A22" t="s">
        <v>25</v>
      </c>
      <c r="B22" t="s">
        <v>30</v>
      </c>
      <c r="C22" t="s">
        <v>31</v>
      </c>
      <c r="D22">
        <v>44</v>
      </c>
      <c r="E22">
        <v>1</v>
      </c>
      <c r="F22">
        <v>1</v>
      </c>
      <c r="G22">
        <v>6</v>
      </c>
      <c r="H22">
        <f t="shared" si="0"/>
        <v>2</v>
      </c>
    </row>
    <row r="23" spans="1:8">
      <c r="A23" t="s">
        <v>25</v>
      </c>
      <c r="B23" t="s">
        <v>32</v>
      </c>
      <c r="C23" t="s">
        <v>31</v>
      </c>
      <c r="D23">
        <v>8</v>
      </c>
      <c r="E23">
        <v>1</v>
      </c>
      <c r="F23">
        <v>1</v>
      </c>
      <c r="G23">
        <v>0</v>
      </c>
      <c r="H23">
        <f t="shared" si="0"/>
        <v>2</v>
      </c>
    </row>
    <row r="24" spans="1:8">
      <c r="A24" t="s">
        <v>25</v>
      </c>
      <c r="B24" t="s">
        <v>33</v>
      </c>
      <c r="C24" t="s">
        <v>12</v>
      </c>
      <c r="D24">
        <v>15</v>
      </c>
      <c r="E24">
        <v>1</v>
      </c>
      <c r="F24">
        <v>1</v>
      </c>
      <c r="G24">
        <v>1</v>
      </c>
      <c r="H24">
        <f t="shared" si="0"/>
        <v>2</v>
      </c>
    </row>
    <row r="25" spans="1:8">
      <c r="A25" t="s">
        <v>25</v>
      </c>
      <c r="B25" t="s">
        <v>34</v>
      </c>
      <c r="C25" t="s">
        <v>35</v>
      </c>
      <c r="D25">
        <v>26</v>
      </c>
      <c r="E25">
        <v>1</v>
      </c>
      <c r="F25">
        <v>1</v>
      </c>
      <c r="G25">
        <v>5</v>
      </c>
      <c r="H25">
        <f t="shared" si="0"/>
        <v>2</v>
      </c>
    </row>
    <row r="26" spans="1:8">
      <c r="A26" t="s">
        <v>25</v>
      </c>
      <c r="B26" t="s">
        <v>36</v>
      </c>
      <c r="C26" t="s">
        <v>14</v>
      </c>
      <c r="D26">
        <v>0</v>
      </c>
      <c r="E26">
        <v>0</v>
      </c>
      <c r="F26">
        <v>0</v>
      </c>
      <c r="G26">
        <v>0</v>
      </c>
      <c r="H26">
        <f t="shared" si="0"/>
        <v>0</v>
      </c>
    </row>
    <row r="27" spans="1:8">
      <c r="A27" t="s">
        <v>25</v>
      </c>
      <c r="B27" t="s">
        <v>37</v>
      </c>
      <c r="C27" t="s">
        <v>20</v>
      </c>
      <c r="D27">
        <v>0</v>
      </c>
      <c r="E27">
        <v>0</v>
      </c>
      <c r="F27">
        <v>0</v>
      </c>
      <c r="G27">
        <v>0</v>
      </c>
      <c r="H27">
        <f t="shared" si="0"/>
        <v>0</v>
      </c>
    </row>
    <row r="28" spans="1:8">
      <c r="A28" t="s">
        <v>25</v>
      </c>
      <c r="B28" t="s">
        <v>38</v>
      </c>
      <c r="C28" t="s">
        <v>17</v>
      </c>
      <c r="D28">
        <v>0</v>
      </c>
      <c r="E28">
        <v>0</v>
      </c>
      <c r="F28">
        <v>0</v>
      </c>
      <c r="G28">
        <v>0</v>
      </c>
      <c r="H28">
        <f t="shared" si="0"/>
        <v>0</v>
      </c>
    </row>
    <row r="29" spans="1:8">
      <c r="A29" t="s">
        <v>25</v>
      </c>
      <c r="B29" t="s">
        <v>39</v>
      </c>
      <c r="C29" t="s">
        <v>17</v>
      </c>
      <c r="D29">
        <v>0</v>
      </c>
      <c r="E29">
        <v>0</v>
      </c>
      <c r="F29">
        <v>0</v>
      </c>
      <c r="G29">
        <v>0</v>
      </c>
      <c r="H29">
        <f t="shared" si="0"/>
        <v>0</v>
      </c>
    </row>
    <row r="30" spans="1:8">
      <c r="A30" t="s">
        <v>25</v>
      </c>
      <c r="B30" t="s">
        <v>40</v>
      </c>
      <c r="C30" t="s">
        <v>41</v>
      </c>
      <c r="D30">
        <v>0</v>
      </c>
      <c r="E30">
        <v>0</v>
      </c>
      <c r="F30">
        <v>0</v>
      </c>
      <c r="G30">
        <v>0</v>
      </c>
      <c r="H30">
        <f t="shared" si="0"/>
        <v>0</v>
      </c>
    </row>
    <row r="31" spans="1:8">
      <c r="A31" t="s">
        <v>25</v>
      </c>
      <c r="B31" t="s">
        <v>42</v>
      </c>
      <c r="C31" t="s">
        <v>31</v>
      </c>
      <c r="D31">
        <v>11</v>
      </c>
      <c r="E31">
        <v>0</v>
      </c>
      <c r="F31">
        <v>0</v>
      </c>
      <c r="G31">
        <v>1</v>
      </c>
      <c r="H31">
        <f t="shared" si="0"/>
        <v>0</v>
      </c>
    </row>
    <row r="32" spans="1:8">
      <c r="A32" t="s">
        <v>43</v>
      </c>
      <c r="B32" t="s">
        <v>26</v>
      </c>
      <c r="C32" t="s">
        <v>10</v>
      </c>
      <c r="D32">
        <v>48</v>
      </c>
      <c r="E32">
        <v>36</v>
      </c>
      <c r="F32">
        <v>11</v>
      </c>
      <c r="G32">
        <v>8</v>
      </c>
      <c r="H32">
        <f t="shared" si="0"/>
        <v>47</v>
      </c>
    </row>
    <row r="33" spans="1:8">
      <c r="A33" t="s">
        <v>43</v>
      </c>
      <c r="B33" t="s">
        <v>16</v>
      </c>
      <c r="C33" t="s">
        <v>17</v>
      </c>
      <c r="D33">
        <v>47</v>
      </c>
      <c r="E33">
        <v>19</v>
      </c>
      <c r="F33">
        <v>11</v>
      </c>
      <c r="G33">
        <v>6</v>
      </c>
      <c r="H33">
        <f t="shared" si="0"/>
        <v>30</v>
      </c>
    </row>
    <row r="34" spans="1:8">
      <c r="A34" t="s">
        <v>43</v>
      </c>
      <c r="B34" t="s">
        <v>44</v>
      </c>
      <c r="C34" t="s">
        <v>45</v>
      </c>
      <c r="D34">
        <v>47</v>
      </c>
      <c r="E34">
        <v>13</v>
      </c>
      <c r="F34">
        <v>13</v>
      </c>
      <c r="G34">
        <v>6</v>
      </c>
      <c r="H34">
        <f t="shared" ref="H34:H65" si="1">E34+F34</f>
        <v>26</v>
      </c>
    </row>
    <row r="35" spans="1:8">
      <c r="A35" t="s">
        <v>43</v>
      </c>
      <c r="B35" t="s">
        <v>46</v>
      </c>
      <c r="C35" t="s">
        <v>10</v>
      </c>
      <c r="D35">
        <v>33</v>
      </c>
      <c r="E35">
        <v>13</v>
      </c>
      <c r="F35">
        <v>4</v>
      </c>
      <c r="G35">
        <v>0</v>
      </c>
      <c r="H35">
        <f t="shared" si="1"/>
        <v>17</v>
      </c>
    </row>
    <row r="36" spans="1:8">
      <c r="A36" t="s">
        <v>43</v>
      </c>
      <c r="B36" t="s">
        <v>27</v>
      </c>
      <c r="C36" t="s">
        <v>14</v>
      </c>
      <c r="D36">
        <v>27</v>
      </c>
      <c r="E36">
        <v>6</v>
      </c>
      <c r="F36">
        <v>6</v>
      </c>
      <c r="G36">
        <v>1</v>
      </c>
      <c r="H36">
        <f t="shared" si="1"/>
        <v>12</v>
      </c>
    </row>
    <row r="37" spans="1:8">
      <c r="A37" t="s">
        <v>43</v>
      </c>
      <c r="B37" t="s">
        <v>47</v>
      </c>
      <c r="C37" t="s">
        <v>31</v>
      </c>
      <c r="D37">
        <v>31</v>
      </c>
      <c r="E37">
        <v>5</v>
      </c>
      <c r="F37">
        <v>3</v>
      </c>
      <c r="G37">
        <v>0</v>
      </c>
      <c r="H37">
        <f t="shared" si="1"/>
        <v>8</v>
      </c>
    </row>
    <row r="38" spans="1:8">
      <c r="A38" t="s">
        <v>43</v>
      </c>
      <c r="B38" t="s">
        <v>13</v>
      </c>
      <c r="C38" t="s">
        <v>14</v>
      </c>
      <c r="D38">
        <v>46</v>
      </c>
      <c r="E38">
        <v>4</v>
      </c>
      <c r="F38">
        <v>9</v>
      </c>
      <c r="G38">
        <v>6</v>
      </c>
      <c r="H38">
        <f t="shared" si="1"/>
        <v>13</v>
      </c>
    </row>
    <row r="39" spans="1:8">
      <c r="A39" t="s">
        <v>43</v>
      </c>
      <c r="B39" t="s">
        <v>48</v>
      </c>
      <c r="C39" t="s">
        <v>31</v>
      </c>
      <c r="D39">
        <v>34</v>
      </c>
      <c r="E39">
        <v>3</v>
      </c>
      <c r="F39">
        <v>2</v>
      </c>
      <c r="G39">
        <v>5</v>
      </c>
      <c r="H39">
        <f t="shared" si="1"/>
        <v>5</v>
      </c>
    </row>
    <row r="40" spans="1:8">
      <c r="A40" t="s">
        <v>43</v>
      </c>
      <c r="B40" t="s">
        <v>30</v>
      </c>
      <c r="C40" t="s">
        <v>31</v>
      </c>
      <c r="D40">
        <v>47</v>
      </c>
      <c r="E40">
        <v>2</v>
      </c>
      <c r="F40">
        <v>1</v>
      </c>
      <c r="G40">
        <v>5</v>
      </c>
      <c r="H40">
        <f t="shared" si="1"/>
        <v>3</v>
      </c>
    </row>
    <row r="41" spans="1:8">
      <c r="A41" t="s">
        <v>43</v>
      </c>
      <c r="B41" t="s">
        <v>49</v>
      </c>
      <c r="C41" t="s">
        <v>12</v>
      </c>
      <c r="D41">
        <v>25</v>
      </c>
      <c r="E41">
        <v>2</v>
      </c>
      <c r="F41">
        <v>3</v>
      </c>
      <c r="G41">
        <v>4</v>
      </c>
      <c r="H41">
        <f t="shared" si="1"/>
        <v>5</v>
      </c>
    </row>
    <row r="42" spans="1:8">
      <c r="A42" t="s">
        <v>43</v>
      </c>
      <c r="B42" t="s">
        <v>15</v>
      </c>
      <c r="C42" t="s">
        <v>12</v>
      </c>
      <c r="D42">
        <v>35</v>
      </c>
      <c r="E42">
        <v>2</v>
      </c>
      <c r="F42">
        <v>5</v>
      </c>
      <c r="G42">
        <v>4</v>
      </c>
      <c r="H42">
        <f t="shared" si="1"/>
        <v>7</v>
      </c>
    </row>
    <row r="43" spans="1:8">
      <c r="A43" t="s">
        <v>43</v>
      </c>
      <c r="B43" t="s">
        <v>11</v>
      </c>
      <c r="C43" t="s">
        <v>12</v>
      </c>
      <c r="D43">
        <v>39</v>
      </c>
      <c r="E43">
        <v>2</v>
      </c>
      <c r="F43">
        <v>2</v>
      </c>
      <c r="G43">
        <v>4</v>
      </c>
      <c r="H43">
        <f t="shared" si="1"/>
        <v>4</v>
      </c>
    </row>
    <row r="44" spans="1:8">
      <c r="A44" t="s">
        <v>43</v>
      </c>
      <c r="B44" t="s">
        <v>50</v>
      </c>
      <c r="C44" t="s">
        <v>12</v>
      </c>
      <c r="D44">
        <v>21</v>
      </c>
      <c r="E44">
        <v>2</v>
      </c>
      <c r="F44">
        <v>1</v>
      </c>
      <c r="G44">
        <v>0</v>
      </c>
      <c r="H44">
        <f t="shared" si="1"/>
        <v>3</v>
      </c>
    </row>
    <row r="45" spans="1:8">
      <c r="A45" t="s">
        <v>43</v>
      </c>
      <c r="B45" t="s">
        <v>51</v>
      </c>
      <c r="C45" t="s">
        <v>17</v>
      </c>
      <c r="D45">
        <v>9</v>
      </c>
      <c r="E45">
        <v>1</v>
      </c>
      <c r="F45">
        <v>1</v>
      </c>
      <c r="G45">
        <v>0</v>
      </c>
      <c r="H45">
        <f t="shared" si="1"/>
        <v>2</v>
      </c>
    </row>
    <row r="46" spans="1:8">
      <c r="A46" t="s">
        <v>43</v>
      </c>
      <c r="B46" t="s">
        <v>52</v>
      </c>
      <c r="C46" t="s">
        <v>17</v>
      </c>
      <c r="D46">
        <v>1</v>
      </c>
      <c r="E46">
        <v>1</v>
      </c>
      <c r="F46">
        <v>0</v>
      </c>
      <c r="G46">
        <v>0</v>
      </c>
      <c r="H46">
        <f t="shared" si="1"/>
        <v>1</v>
      </c>
    </row>
    <row r="47" spans="1:8">
      <c r="A47" t="s">
        <v>43</v>
      </c>
      <c r="B47" t="s">
        <v>28</v>
      </c>
      <c r="C47" t="s">
        <v>17</v>
      </c>
      <c r="D47">
        <v>16</v>
      </c>
      <c r="E47">
        <v>1</v>
      </c>
      <c r="F47">
        <v>1</v>
      </c>
      <c r="G47">
        <v>0</v>
      </c>
      <c r="H47">
        <f t="shared" si="1"/>
        <v>2</v>
      </c>
    </row>
    <row r="48" spans="1:8">
      <c r="A48" t="s">
        <v>43</v>
      </c>
      <c r="B48" t="s">
        <v>39</v>
      </c>
      <c r="C48" t="s">
        <v>17</v>
      </c>
      <c r="D48">
        <v>0</v>
      </c>
      <c r="E48">
        <v>0</v>
      </c>
      <c r="F48">
        <v>0</v>
      </c>
      <c r="G48">
        <v>0</v>
      </c>
      <c r="H48">
        <f t="shared" si="1"/>
        <v>0</v>
      </c>
    </row>
    <row r="49" spans="1:8">
      <c r="A49" t="s">
        <v>43</v>
      </c>
      <c r="B49" t="s">
        <v>40</v>
      </c>
      <c r="C49" t="s">
        <v>41</v>
      </c>
      <c r="D49">
        <v>0</v>
      </c>
      <c r="E49">
        <v>0</v>
      </c>
      <c r="F49">
        <v>0</v>
      </c>
      <c r="G49">
        <v>0</v>
      </c>
      <c r="H49">
        <f t="shared" si="1"/>
        <v>0</v>
      </c>
    </row>
    <row r="50" spans="1:8">
      <c r="A50" t="s">
        <v>43</v>
      </c>
      <c r="B50" t="s">
        <v>53</v>
      </c>
      <c r="C50" t="s">
        <v>17</v>
      </c>
      <c r="D50">
        <v>0</v>
      </c>
      <c r="E50">
        <v>0</v>
      </c>
      <c r="F50">
        <v>0</v>
      </c>
      <c r="G50">
        <v>0</v>
      </c>
      <c r="H50">
        <f t="shared" si="1"/>
        <v>0</v>
      </c>
    </row>
    <row r="51" spans="1:8">
      <c r="A51" t="s">
        <v>43</v>
      </c>
      <c r="B51" t="s">
        <v>54</v>
      </c>
      <c r="C51" t="s">
        <v>17</v>
      </c>
      <c r="D51">
        <v>0</v>
      </c>
      <c r="E51">
        <v>0</v>
      </c>
      <c r="F51">
        <v>0</v>
      </c>
      <c r="G51">
        <v>0</v>
      </c>
      <c r="H51">
        <f t="shared" si="1"/>
        <v>0</v>
      </c>
    </row>
    <row r="52" spans="1:8">
      <c r="A52" t="s">
        <v>43</v>
      </c>
      <c r="B52" t="s">
        <v>33</v>
      </c>
      <c r="C52" t="s">
        <v>12</v>
      </c>
      <c r="D52">
        <v>12</v>
      </c>
      <c r="E52">
        <v>0</v>
      </c>
      <c r="F52">
        <v>0</v>
      </c>
      <c r="G52">
        <v>0</v>
      </c>
      <c r="H52">
        <f t="shared" si="1"/>
        <v>0</v>
      </c>
    </row>
    <row r="53" spans="1:8">
      <c r="A53" t="s">
        <v>43</v>
      </c>
      <c r="B53" t="s">
        <v>55</v>
      </c>
      <c r="C53" t="s">
        <v>31</v>
      </c>
      <c r="D53">
        <v>0</v>
      </c>
      <c r="E53">
        <v>0</v>
      </c>
      <c r="F53">
        <v>0</v>
      </c>
      <c r="G53">
        <v>0</v>
      </c>
      <c r="H53">
        <f t="shared" si="1"/>
        <v>0</v>
      </c>
    </row>
    <row r="54" spans="1:8">
      <c r="A54" t="s">
        <v>43</v>
      </c>
      <c r="B54" t="s">
        <v>56</v>
      </c>
      <c r="C54" t="s">
        <v>14</v>
      </c>
      <c r="D54">
        <v>1</v>
      </c>
      <c r="E54">
        <v>0</v>
      </c>
      <c r="F54">
        <v>0</v>
      </c>
      <c r="G54">
        <v>0</v>
      </c>
      <c r="H54">
        <f t="shared" si="1"/>
        <v>0</v>
      </c>
    </row>
    <row r="55" spans="1:8">
      <c r="A55" t="s">
        <v>43</v>
      </c>
      <c r="B55" t="s">
        <v>57</v>
      </c>
      <c r="C55" t="s">
        <v>35</v>
      </c>
      <c r="D55">
        <v>2</v>
      </c>
      <c r="E55">
        <v>0</v>
      </c>
      <c r="F55">
        <v>0</v>
      </c>
      <c r="G55">
        <v>0</v>
      </c>
      <c r="H55">
        <f t="shared" si="1"/>
        <v>0</v>
      </c>
    </row>
    <row r="56" spans="1:8">
      <c r="A56" t="s">
        <v>43</v>
      </c>
      <c r="B56" t="s">
        <v>58</v>
      </c>
      <c r="C56" t="s">
        <v>12</v>
      </c>
      <c r="D56">
        <v>0</v>
      </c>
      <c r="E56">
        <v>0</v>
      </c>
      <c r="F56">
        <v>0</v>
      </c>
      <c r="G56">
        <v>0</v>
      </c>
      <c r="H56">
        <f t="shared" si="1"/>
        <v>0</v>
      </c>
    </row>
    <row r="57" spans="1:8">
      <c r="A57" t="s">
        <v>43</v>
      </c>
      <c r="B57" t="s">
        <v>59</v>
      </c>
      <c r="C57" t="s">
        <v>35</v>
      </c>
      <c r="D57">
        <v>0</v>
      </c>
      <c r="E57">
        <v>0</v>
      </c>
      <c r="F57">
        <v>0</v>
      </c>
      <c r="G57">
        <v>0</v>
      </c>
      <c r="H57">
        <f t="shared" si="1"/>
        <v>0</v>
      </c>
    </row>
    <row r="58" spans="1:8">
      <c r="A58" t="s">
        <v>43</v>
      </c>
      <c r="B58" t="s">
        <v>60</v>
      </c>
      <c r="C58" t="s">
        <v>20</v>
      </c>
      <c r="D58">
        <v>4</v>
      </c>
      <c r="E58">
        <v>0</v>
      </c>
      <c r="F58">
        <v>0</v>
      </c>
      <c r="G58">
        <v>0</v>
      </c>
      <c r="H58">
        <f t="shared" si="1"/>
        <v>0</v>
      </c>
    </row>
    <row r="59" spans="1:8">
      <c r="A59" t="s">
        <v>43</v>
      </c>
      <c r="B59" t="s">
        <v>61</v>
      </c>
      <c r="C59" t="s">
        <v>20</v>
      </c>
      <c r="D59">
        <v>47</v>
      </c>
      <c r="E59">
        <v>0</v>
      </c>
      <c r="F59">
        <v>3</v>
      </c>
      <c r="G59">
        <v>7</v>
      </c>
      <c r="H59">
        <f t="shared" si="1"/>
        <v>3</v>
      </c>
    </row>
    <row r="60" spans="1:8">
      <c r="A60" t="s">
        <v>43</v>
      </c>
      <c r="B60" t="s">
        <v>62</v>
      </c>
      <c r="C60" t="s">
        <v>35</v>
      </c>
      <c r="D60">
        <v>48</v>
      </c>
      <c r="E60">
        <v>0</v>
      </c>
      <c r="F60">
        <v>5</v>
      </c>
      <c r="G60">
        <v>6</v>
      </c>
      <c r="H60">
        <f t="shared" si="1"/>
        <v>5</v>
      </c>
    </row>
    <row r="61" spans="1:8">
      <c r="A61" t="s">
        <v>43</v>
      </c>
      <c r="B61" t="s">
        <v>63</v>
      </c>
      <c r="C61" t="s">
        <v>41</v>
      </c>
      <c r="D61">
        <v>48</v>
      </c>
      <c r="E61">
        <v>0</v>
      </c>
      <c r="F61">
        <v>0</v>
      </c>
      <c r="G61">
        <v>5</v>
      </c>
      <c r="H61">
        <f t="shared" si="1"/>
        <v>0</v>
      </c>
    </row>
    <row r="62" spans="1:8">
      <c r="A62" t="s">
        <v>64</v>
      </c>
      <c r="B62" t="s">
        <v>26</v>
      </c>
      <c r="C62" t="s">
        <v>10</v>
      </c>
      <c r="D62">
        <v>40</v>
      </c>
      <c r="E62">
        <v>35</v>
      </c>
      <c r="F62">
        <v>13</v>
      </c>
      <c r="G62">
        <v>4</v>
      </c>
      <c r="H62">
        <f t="shared" si="1"/>
        <v>48</v>
      </c>
    </row>
    <row r="63" spans="1:8">
      <c r="A63" t="s">
        <v>64</v>
      </c>
      <c r="B63" t="s">
        <v>44</v>
      </c>
      <c r="C63" t="s">
        <v>45</v>
      </c>
      <c r="D63">
        <v>41</v>
      </c>
      <c r="E63">
        <v>17</v>
      </c>
      <c r="F63">
        <v>8</v>
      </c>
      <c r="G63">
        <v>5</v>
      </c>
      <c r="H63">
        <f t="shared" si="1"/>
        <v>25</v>
      </c>
    </row>
    <row r="64" spans="1:8">
      <c r="A64" t="s">
        <v>64</v>
      </c>
      <c r="B64" t="s">
        <v>65</v>
      </c>
      <c r="C64" t="s">
        <v>14</v>
      </c>
      <c r="D64">
        <v>47</v>
      </c>
      <c r="E64">
        <v>14</v>
      </c>
      <c r="F64">
        <v>5</v>
      </c>
      <c r="G64">
        <v>6</v>
      </c>
      <c r="H64">
        <f t="shared" si="1"/>
        <v>19</v>
      </c>
    </row>
    <row r="65" spans="1:8">
      <c r="A65" t="s">
        <v>64</v>
      </c>
      <c r="B65" t="s">
        <v>66</v>
      </c>
      <c r="C65" t="s">
        <v>17</v>
      </c>
      <c r="D65">
        <v>43</v>
      </c>
      <c r="E65">
        <v>10</v>
      </c>
      <c r="F65">
        <v>10</v>
      </c>
      <c r="G65">
        <v>5</v>
      </c>
      <c r="H65">
        <f t="shared" si="1"/>
        <v>20</v>
      </c>
    </row>
    <row r="66" spans="1:8">
      <c r="A66" t="s">
        <v>64</v>
      </c>
      <c r="B66" t="s">
        <v>67</v>
      </c>
      <c r="C66" t="s">
        <v>17</v>
      </c>
      <c r="D66">
        <v>31</v>
      </c>
      <c r="E66">
        <v>8</v>
      </c>
      <c r="F66">
        <v>1</v>
      </c>
      <c r="G66">
        <v>3</v>
      </c>
      <c r="H66">
        <f t="shared" ref="H66:H97" si="2">E66+F66</f>
        <v>9</v>
      </c>
    </row>
    <row r="67" spans="1:8">
      <c r="A67" t="s">
        <v>64</v>
      </c>
      <c r="B67" t="s">
        <v>68</v>
      </c>
      <c r="C67" t="s">
        <v>10</v>
      </c>
      <c r="D67">
        <v>25</v>
      </c>
      <c r="E67">
        <v>5</v>
      </c>
      <c r="F67">
        <v>4</v>
      </c>
      <c r="G67">
        <v>3</v>
      </c>
      <c r="H67">
        <f t="shared" si="2"/>
        <v>9</v>
      </c>
    </row>
    <row r="68" spans="1:8">
      <c r="A68" t="s">
        <v>64</v>
      </c>
      <c r="B68" t="s">
        <v>69</v>
      </c>
      <c r="C68" t="s">
        <v>12</v>
      </c>
      <c r="D68">
        <v>29</v>
      </c>
      <c r="E68">
        <v>5</v>
      </c>
      <c r="F68">
        <v>6</v>
      </c>
      <c r="G68">
        <v>4</v>
      </c>
      <c r="H68">
        <f t="shared" si="2"/>
        <v>11</v>
      </c>
    </row>
    <row r="69" spans="1:8">
      <c r="A69" t="s">
        <v>64</v>
      </c>
      <c r="B69" t="s">
        <v>70</v>
      </c>
      <c r="C69" t="s">
        <v>10</v>
      </c>
      <c r="D69">
        <v>14</v>
      </c>
      <c r="E69">
        <v>4</v>
      </c>
      <c r="F69">
        <v>2</v>
      </c>
      <c r="G69">
        <v>1</v>
      </c>
      <c r="H69">
        <f t="shared" si="2"/>
        <v>6</v>
      </c>
    </row>
    <row r="70" spans="1:8">
      <c r="A70" t="s">
        <v>64</v>
      </c>
      <c r="B70" t="s">
        <v>71</v>
      </c>
      <c r="C70" t="s">
        <v>14</v>
      </c>
      <c r="D70">
        <v>17</v>
      </c>
      <c r="E70">
        <v>2</v>
      </c>
      <c r="F70">
        <v>3</v>
      </c>
      <c r="G70">
        <v>3</v>
      </c>
      <c r="H70">
        <f t="shared" si="2"/>
        <v>5</v>
      </c>
    </row>
    <row r="71" spans="1:8">
      <c r="A71" t="s">
        <v>64</v>
      </c>
      <c r="B71" t="s">
        <v>15</v>
      </c>
      <c r="C71" t="s">
        <v>12</v>
      </c>
      <c r="D71">
        <v>50</v>
      </c>
      <c r="E71">
        <v>2</v>
      </c>
      <c r="F71">
        <v>6</v>
      </c>
      <c r="G71">
        <v>10</v>
      </c>
      <c r="H71">
        <f t="shared" si="2"/>
        <v>8</v>
      </c>
    </row>
    <row r="72" spans="1:8">
      <c r="A72" t="s">
        <v>64</v>
      </c>
      <c r="B72" t="s">
        <v>11</v>
      </c>
      <c r="C72" t="s">
        <v>12</v>
      </c>
      <c r="D72">
        <v>10</v>
      </c>
      <c r="E72">
        <v>1</v>
      </c>
      <c r="F72">
        <v>3</v>
      </c>
      <c r="G72">
        <v>0</v>
      </c>
      <c r="H72">
        <f t="shared" si="2"/>
        <v>4</v>
      </c>
    </row>
    <row r="73" spans="1:8">
      <c r="A73" t="s">
        <v>64</v>
      </c>
      <c r="B73" t="s">
        <v>72</v>
      </c>
      <c r="C73" t="s">
        <v>12</v>
      </c>
      <c r="D73">
        <v>23</v>
      </c>
      <c r="E73">
        <v>1</v>
      </c>
      <c r="F73">
        <v>3</v>
      </c>
      <c r="G73">
        <v>0</v>
      </c>
      <c r="H73">
        <f t="shared" si="2"/>
        <v>4</v>
      </c>
    </row>
    <row r="74" spans="1:8">
      <c r="A74" t="s">
        <v>64</v>
      </c>
      <c r="B74" t="s">
        <v>73</v>
      </c>
      <c r="C74" t="s">
        <v>12</v>
      </c>
      <c r="D74">
        <v>17</v>
      </c>
      <c r="E74">
        <v>1</v>
      </c>
      <c r="F74">
        <v>0</v>
      </c>
      <c r="G74">
        <v>1</v>
      </c>
      <c r="H74">
        <f t="shared" si="2"/>
        <v>1</v>
      </c>
    </row>
    <row r="75" spans="1:8">
      <c r="A75" t="s">
        <v>64</v>
      </c>
      <c r="B75" t="s">
        <v>74</v>
      </c>
      <c r="C75" t="s">
        <v>45</v>
      </c>
      <c r="D75">
        <v>40</v>
      </c>
      <c r="E75">
        <v>1</v>
      </c>
      <c r="F75">
        <v>6</v>
      </c>
      <c r="G75">
        <v>3</v>
      </c>
      <c r="H75">
        <f t="shared" si="2"/>
        <v>7</v>
      </c>
    </row>
    <row r="76" spans="1:8">
      <c r="A76" t="s">
        <v>64</v>
      </c>
      <c r="B76" t="s">
        <v>75</v>
      </c>
      <c r="C76" t="s">
        <v>35</v>
      </c>
      <c r="D76">
        <v>21</v>
      </c>
      <c r="E76">
        <v>1</v>
      </c>
      <c r="F76">
        <v>0</v>
      </c>
      <c r="G76">
        <v>0</v>
      </c>
      <c r="H76">
        <f t="shared" si="2"/>
        <v>1</v>
      </c>
    </row>
    <row r="77" spans="1:8">
      <c r="A77" t="s">
        <v>64</v>
      </c>
      <c r="B77" t="s">
        <v>52</v>
      </c>
      <c r="C77" t="s">
        <v>17</v>
      </c>
      <c r="D77">
        <v>40</v>
      </c>
      <c r="E77">
        <v>1</v>
      </c>
      <c r="F77">
        <v>9</v>
      </c>
      <c r="G77">
        <v>3</v>
      </c>
      <c r="H77">
        <f t="shared" si="2"/>
        <v>10</v>
      </c>
    </row>
    <row r="78" spans="1:8">
      <c r="A78" t="s">
        <v>64</v>
      </c>
      <c r="B78" t="s">
        <v>47</v>
      </c>
      <c r="C78" t="s">
        <v>31</v>
      </c>
      <c r="D78">
        <v>39</v>
      </c>
      <c r="E78">
        <v>1</v>
      </c>
      <c r="F78">
        <v>1</v>
      </c>
      <c r="G78">
        <v>3</v>
      </c>
      <c r="H78">
        <f t="shared" si="2"/>
        <v>2</v>
      </c>
    </row>
    <row r="79" spans="1:8">
      <c r="A79" t="s">
        <v>64</v>
      </c>
      <c r="B79" t="s">
        <v>76</v>
      </c>
      <c r="C79" t="s">
        <v>35</v>
      </c>
      <c r="D79">
        <v>58</v>
      </c>
      <c r="E79">
        <v>1</v>
      </c>
      <c r="F79">
        <v>2</v>
      </c>
      <c r="G79">
        <v>10</v>
      </c>
      <c r="H79">
        <f t="shared" si="2"/>
        <v>3</v>
      </c>
    </row>
    <row r="80" spans="1:8">
      <c r="A80" t="s">
        <v>64</v>
      </c>
      <c r="B80" t="s">
        <v>77</v>
      </c>
      <c r="C80" t="s">
        <v>14</v>
      </c>
      <c r="D80">
        <v>0</v>
      </c>
      <c r="E80">
        <v>0</v>
      </c>
      <c r="F80">
        <v>0</v>
      </c>
      <c r="G80">
        <v>0</v>
      </c>
      <c r="H80">
        <f t="shared" si="2"/>
        <v>0</v>
      </c>
    </row>
    <row r="81" spans="1:8">
      <c r="A81" t="s">
        <v>64</v>
      </c>
      <c r="B81" t="s">
        <v>78</v>
      </c>
      <c r="C81" t="s">
        <v>41</v>
      </c>
      <c r="D81">
        <v>2</v>
      </c>
      <c r="E81">
        <v>0</v>
      </c>
      <c r="F81">
        <v>0</v>
      </c>
      <c r="G81">
        <v>1</v>
      </c>
      <c r="H81">
        <f t="shared" si="2"/>
        <v>0</v>
      </c>
    </row>
    <row r="82" spans="1:8">
      <c r="A82" t="s">
        <v>64</v>
      </c>
      <c r="B82" t="s">
        <v>79</v>
      </c>
      <c r="C82" t="s">
        <v>12</v>
      </c>
      <c r="D82">
        <v>19</v>
      </c>
      <c r="E82">
        <v>0</v>
      </c>
      <c r="F82">
        <v>6</v>
      </c>
      <c r="G82">
        <v>3</v>
      </c>
      <c r="H82">
        <f t="shared" si="2"/>
        <v>6</v>
      </c>
    </row>
    <row r="83" spans="1:8">
      <c r="A83" t="s">
        <v>64</v>
      </c>
      <c r="B83" t="s">
        <v>60</v>
      </c>
      <c r="C83" t="s">
        <v>20</v>
      </c>
      <c r="D83">
        <v>2</v>
      </c>
      <c r="E83">
        <v>0</v>
      </c>
      <c r="F83">
        <v>0</v>
      </c>
      <c r="G83">
        <v>0</v>
      </c>
      <c r="H83">
        <f t="shared" si="2"/>
        <v>0</v>
      </c>
    </row>
    <row r="84" spans="1:8">
      <c r="A84" t="s">
        <v>64</v>
      </c>
      <c r="B84" t="s">
        <v>80</v>
      </c>
      <c r="C84" t="s">
        <v>12</v>
      </c>
      <c r="D84">
        <v>14</v>
      </c>
      <c r="E84">
        <v>0</v>
      </c>
      <c r="F84">
        <v>1</v>
      </c>
      <c r="G84">
        <v>1</v>
      </c>
      <c r="H84">
        <f t="shared" si="2"/>
        <v>1</v>
      </c>
    </row>
    <row r="85" spans="1:8">
      <c r="A85" t="s">
        <v>64</v>
      </c>
      <c r="B85" t="s">
        <v>30</v>
      </c>
      <c r="C85" t="s">
        <v>31</v>
      </c>
      <c r="D85">
        <v>46</v>
      </c>
      <c r="E85">
        <v>0</v>
      </c>
      <c r="F85">
        <v>2</v>
      </c>
      <c r="G85">
        <v>6</v>
      </c>
      <c r="H85">
        <f t="shared" si="2"/>
        <v>2</v>
      </c>
    </row>
    <row r="86" spans="1:8">
      <c r="A86" t="s">
        <v>64</v>
      </c>
      <c r="B86" t="s">
        <v>81</v>
      </c>
      <c r="C86" t="s">
        <v>31</v>
      </c>
      <c r="D86">
        <v>0</v>
      </c>
      <c r="E86">
        <v>0</v>
      </c>
      <c r="F86">
        <v>0</v>
      </c>
      <c r="G86">
        <v>0</v>
      </c>
      <c r="H86">
        <f t="shared" si="2"/>
        <v>0</v>
      </c>
    </row>
    <row r="87" spans="1:8">
      <c r="A87" t="s">
        <v>64</v>
      </c>
      <c r="B87" t="s">
        <v>82</v>
      </c>
      <c r="C87" t="s">
        <v>10</v>
      </c>
      <c r="D87">
        <v>0</v>
      </c>
      <c r="E87">
        <v>0</v>
      </c>
      <c r="F87">
        <v>0</v>
      </c>
      <c r="G87">
        <v>0</v>
      </c>
      <c r="H87">
        <f t="shared" si="2"/>
        <v>0</v>
      </c>
    </row>
    <row r="88" spans="1:8">
      <c r="A88" t="s">
        <v>64</v>
      </c>
      <c r="B88" t="s">
        <v>83</v>
      </c>
      <c r="C88" t="s">
        <v>31</v>
      </c>
      <c r="D88">
        <v>0</v>
      </c>
      <c r="E88">
        <v>0</v>
      </c>
      <c r="F88">
        <v>0</v>
      </c>
      <c r="G88">
        <v>0</v>
      </c>
      <c r="H88">
        <f t="shared" si="2"/>
        <v>0</v>
      </c>
    </row>
    <row r="89" spans="1:8">
      <c r="A89" t="s">
        <v>64</v>
      </c>
      <c r="B89" t="s">
        <v>84</v>
      </c>
      <c r="C89" t="s">
        <v>10</v>
      </c>
      <c r="D89">
        <v>0</v>
      </c>
      <c r="E89">
        <v>0</v>
      </c>
      <c r="F89">
        <v>0</v>
      </c>
      <c r="G89">
        <v>0</v>
      </c>
      <c r="H89">
        <f t="shared" si="2"/>
        <v>0</v>
      </c>
    </row>
    <row r="90" spans="1:8">
      <c r="A90" t="s">
        <v>64</v>
      </c>
      <c r="B90" t="s">
        <v>85</v>
      </c>
      <c r="C90" t="s">
        <v>10</v>
      </c>
      <c r="D90">
        <v>2</v>
      </c>
      <c r="E90">
        <v>0</v>
      </c>
      <c r="F90">
        <v>0</v>
      </c>
      <c r="G90">
        <v>0</v>
      </c>
      <c r="H90">
        <f t="shared" si="2"/>
        <v>0</v>
      </c>
    </row>
    <row r="91" spans="1:8">
      <c r="A91" t="s">
        <v>64</v>
      </c>
      <c r="B91" t="s">
        <v>86</v>
      </c>
      <c r="C91" t="s">
        <v>31</v>
      </c>
      <c r="D91">
        <v>32</v>
      </c>
      <c r="E91">
        <v>0</v>
      </c>
      <c r="F91">
        <v>0</v>
      </c>
      <c r="G91">
        <v>3</v>
      </c>
      <c r="H91">
        <f t="shared" si="2"/>
        <v>0</v>
      </c>
    </row>
    <row r="92" spans="1:8">
      <c r="A92" t="s">
        <v>64</v>
      </c>
      <c r="B92" t="s">
        <v>87</v>
      </c>
      <c r="C92" t="s">
        <v>20</v>
      </c>
      <c r="D92">
        <v>57</v>
      </c>
      <c r="E92">
        <v>0</v>
      </c>
      <c r="F92">
        <v>1</v>
      </c>
      <c r="G92">
        <v>8</v>
      </c>
      <c r="H92">
        <f t="shared" si="2"/>
        <v>1</v>
      </c>
    </row>
    <row r="93" spans="1:8">
      <c r="A93" t="s">
        <v>64</v>
      </c>
      <c r="B93" t="s">
        <v>88</v>
      </c>
      <c r="C93" t="s">
        <v>31</v>
      </c>
      <c r="D93">
        <v>33</v>
      </c>
      <c r="E93">
        <v>0</v>
      </c>
      <c r="F93">
        <v>0</v>
      </c>
      <c r="G93">
        <v>4</v>
      </c>
      <c r="H93">
        <f t="shared" si="2"/>
        <v>0</v>
      </c>
    </row>
    <row r="94" spans="1:8">
      <c r="A94" t="s">
        <v>64</v>
      </c>
      <c r="B94" t="s">
        <v>89</v>
      </c>
      <c r="C94" t="s">
        <v>41</v>
      </c>
      <c r="D94">
        <v>54</v>
      </c>
      <c r="E94">
        <v>0</v>
      </c>
      <c r="F94">
        <v>1</v>
      </c>
      <c r="G94">
        <v>8</v>
      </c>
      <c r="H94">
        <f t="shared" si="2"/>
        <v>1</v>
      </c>
    </row>
    <row r="95" spans="1:8">
      <c r="A95" t="s">
        <v>90</v>
      </c>
      <c r="B95" t="s">
        <v>91</v>
      </c>
      <c r="C95" t="s">
        <v>10</v>
      </c>
      <c r="D95">
        <v>33</v>
      </c>
      <c r="E95">
        <v>43</v>
      </c>
      <c r="F95">
        <v>5</v>
      </c>
      <c r="G95">
        <v>4</v>
      </c>
      <c r="H95">
        <f t="shared" si="2"/>
        <v>48</v>
      </c>
    </row>
    <row r="96" spans="1:8">
      <c r="A96" t="s">
        <v>90</v>
      </c>
      <c r="B96" t="s">
        <v>92</v>
      </c>
      <c r="C96" t="s">
        <v>10</v>
      </c>
      <c r="D96">
        <v>43</v>
      </c>
      <c r="E96">
        <v>24</v>
      </c>
      <c r="F96">
        <v>5</v>
      </c>
      <c r="G96">
        <v>0</v>
      </c>
      <c r="H96">
        <f t="shared" si="2"/>
        <v>29</v>
      </c>
    </row>
    <row r="97" spans="1:8">
      <c r="A97" t="s">
        <v>90</v>
      </c>
      <c r="B97" t="s">
        <v>66</v>
      </c>
      <c r="C97" t="s">
        <v>17</v>
      </c>
      <c r="D97">
        <v>49</v>
      </c>
      <c r="E97">
        <v>16</v>
      </c>
      <c r="F97">
        <v>25</v>
      </c>
      <c r="G97">
        <v>6</v>
      </c>
      <c r="H97">
        <f t="shared" si="2"/>
        <v>41</v>
      </c>
    </row>
    <row r="98" spans="1:8">
      <c r="A98" t="s">
        <v>90</v>
      </c>
      <c r="B98" t="s">
        <v>44</v>
      </c>
      <c r="C98" t="s">
        <v>45</v>
      </c>
      <c r="D98">
        <v>44</v>
      </c>
      <c r="E98">
        <v>13</v>
      </c>
      <c r="F98">
        <v>17</v>
      </c>
      <c r="G98">
        <v>5</v>
      </c>
      <c r="H98">
        <f t="shared" ref="H98:H124" si="3">E98+F98</f>
        <v>30</v>
      </c>
    </row>
    <row r="99" spans="1:8">
      <c r="A99" t="s">
        <v>90</v>
      </c>
      <c r="B99" t="s">
        <v>65</v>
      </c>
      <c r="C99" t="s">
        <v>14</v>
      </c>
      <c r="D99">
        <v>36</v>
      </c>
      <c r="E99">
        <v>12</v>
      </c>
      <c r="F99">
        <v>13</v>
      </c>
      <c r="G99">
        <v>5</v>
      </c>
      <c r="H99">
        <f t="shared" si="3"/>
        <v>25</v>
      </c>
    </row>
    <row r="100" spans="1:8">
      <c r="A100" t="s">
        <v>90</v>
      </c>
      <c r="B100" t="s">
        <v>93</v>
      </c>
      <c r="C100" t="s">
        <v>45</v>
      </c>
      <c r="D100">
        <v>35</v>
      </c>
      <c r="E100">
        <v>9</v>
      </c>
      <c r="F100">
        <v>9</v>
      </c>
      <c r="G100">
        <v>1</v>
      </c>
      <c r="H100">
        <f t="shared" si="3"/>
        <v>18</v>
      </c>
    </row>
    <row r="101" spans="1:8">
      <c r="A101" t="s">
        <v>90</v>
      </c>
      <c r="B101" t="s">
        <v>94</v>
      </c>
      <c r="C101" t="s">
        <v>12</v>
      </c>
      <c r="D101">
        <v>24</v>
      </c>
      <c r="E101">
        <v>8</v>
      </c>
      <c r="F101">
        <v>2</v>
      </c>
      <c r="G101">
        <v>2</v>
      </c>
      <c r="H101">
        <f t="shared" si="3"/>
        <v>10</v>
      </c>
    </row>
    <row r="102" spans="1:8">
      <c r="A102" t="s">
        <v>90</v>
      </c>
      <c r="B102" t="s">
        <v>70</v>
      </c>
      <c r="C102" t="s">
        <v>10</v>
      </c>
      <c r="D102">
        <v>11</v>
      </c>
      <c r="E102">
        <v>7</v>
      </c>
      <c r="F102">
        <v>4</v>
      </c>
      <c r="G102">
        <v>0</v>
      </c>
      <c r="H102">
        <f t="shared" si="3"/>
        <v>11</v>
      </c>
    </row>
    <row r="103" spans="1:8">
      <c r="A103" t="s">
        <v>90</v>
      </c>
      <c r="B103" t="s">
        <v>13</v>
      </c>
      <c r="C103" t="s">
        <v>14</v>
      </c>
      <c r="D103">
        <v>43</v>
      </c>
      <c r="E103">
        <v>4</v>
      </c>
      <c r="F103">
        <v>11</v>
      </c>
      <c r="G103">
        <v>0</v>
      </c>
      <c r="H103">
        <f t="shared" si="3"/>
        <v>15</v>
      </c>
    </row>
    <row r="104" spans="1:8">
      <c r="A104" t="s">
        <v>90</v>
      </c>
      <c r="B104" t="s">
        <v>15</v>
      </c>
      <c r="C104" t="s">
        <v>12</v>
      </c>
      <c r="D104">
        <v>48</v>
      </c>
      <c r="E104">
        <v>3</v>
      </c>
      <c r="F104">
        <v>8</v>
      </c>
      <c r="G104">
        <v>6</v>
      </c>
      <c r="H104">
        <f t="shared" si="3"/>
        <v>11</v>
      </c>
    </row>
    <row r="105" spans="1:8">
      <c r="A105" t="s">
        <v>90</v>
      </c>
      <c r="B105" t="s">
        <v>95</v>
      </c>
      <c r="C105" t="s">
        <v>12</v>
      </c>
      <c r="D105">
        <v>32</v>
      </c>
      <c r="E105">
        <v>2</v>
      </c>
      <c r="F105">
        <v>3</v>
      </c>
      <c r="G105">
        <v>0</v>
      </c>
      <c r="H105">
        <f t="shared" si="3"/>
        <v>5</v>
      </c>
    </row>
    <row r="106" spans="1:8">
      <c r="A106" t="s">
        <v>90</v>
      </c>
      <c r="B106" t="s">
        <v>96</v>
      </c>
      <c r="C106" t="s">
        <v>35</v>
      </c>
      <c r="D106">
        <v>48</v>
      </c>
      <c r="E106">
        <v>1</v>
      </c>
      <c r="F106">
        <v>3</v>
      </c>
      <c r="G106">
        <v>6</v>
      </c>
      <c r="H106">
        <f t="shared" si="3"/>
        <v>4</v>
      </c>
    </row>
    <row r="107" spans="1:8">
      <c r="A107" t="s">
        <v>90</v>
      </c>
      <c r="B107" t="s">
        <v>47</v>
      </c>
      <c r="C107" t="s">
        <v>31</v>
      </c>
      <c r="D107">
        <v>44</v>
      </c>
      <c r="E107">
        <v>1</v>
      </c>
      <c r="F107">
        <v>0</v>
      </c>
      <c r="G107">
        <v>6</v>
      </c>
      <c r="H107">
        <f t="shared" si="3"/>
        <v>1</v>
      </c>
    </row>
    <row r="108" spans="1:8">
      <c r="A108" t="s">
        <v>90</v>
      </c>
      <c r="B108" t="s">
        <v>97</v>
      </c>
      <c r="C108" t="s">
        <v>17</v>
      </c>
      <c r="D108">
        <v>33</v>
      </c>
      <c r="E108">
        <v>1</v>
      </c>
      <c r="F108">
        <v>4</v>
      </c>
      <c r="G108">
        <v>0</v>
      </c>
      <c r="H108">
        <f t="shared" si="3"/>
        <v>5</v>
      </c>
    </row>
    <row r="109" spans="1:8">
      <c r="A109" t="s">
        <v>90</v>
      </c>
      <c r="B109" t="s">
        <v>30</v>
      </c>
      <c r="C109" t="s">
        <v>31</v>
      </c>
      <c r="D109">
        <v>22</v>
      </c>
      <c r="E109">
        <v>1</v>
      </c>
      <c r="F109">
        <v>1</v>
      </c>
      <c r="G109">
        <v>3</v>
      </c>
      <c r="H109">
        <f t="shared" si="3"/>
        <v>2</v>
      </c>
    </row>
    <row r="110" spans="1:8">
      <c r="A110" t="s">
        <v>90</v>
      </c>
      <c r="B110" t="s">
        <v>38</v>
      </c>
      <c r="C110" t="s">
        <v>14</v>
      </c>
      <c r="D110">
        <v>0</v>
      </c>
      <c r="E110">
        <v>0</v>
      </c>
      <c r="F110">
        <v>0</v>
      </c>
      <c r="G110">
        <v>0</v>
      </c>
      <c r="H110">
        <f t="shared" si="3"/>
        <v>0</v>
      </c>
    </row>
    <row r="111" spans="1:8">
      <c r="A111" t="s">
        <v>90</v>
      </c>
      <c r="B111" t="s">
        <v>85</v>
      </c>
      <c r="C111" t="s">
        <v>10</v>
      </c>
      <c r="D111">
        <v>2</v>
      </c>
      <c r="E111">
        <v>0</v>
      </c>
      <c r="F111">
        <v>0</v>
      </c>
      <c r="G111">
        <v>0</v>
      </c>
      <c r="H111">
        <f t="shared" si="3"/>
        <v>0</v>
      </c>
    </row>
    <row r="112" spans="1:8">
      <c r="A112" t="s">
        <v>90</v>
      </c>
      <c r="B112" t="s">
        <v>36</v>
      </c>
      <c r="C112" t="s">
        <v>14</v>
      </c>
      <c r="D112">
        <v>0</v>
      </c>
      <c r="E112">
        <v>0</v>
      </c>
      <c r="F112">
        <v>0</v>
      </c>
      <c r="G112">
        <v>0</v>
      </c>
      <c r="H112">
        <f t="shared" si="3"/>
        <v>0</v>
      </c>
    </row>
    <row r="113" spans="1:8">
      <c r="A113" t="s">
        <v>90</v>
      </c>
      <c r="B113" t="s">
        <v>98</v>
      </c>
      <c r="C113" t="s">
        <v>20</v>
      </c>
      <c r="D113">
        <v>0</v>
      </c>
      <c r="E113">
        <v>0</v>
      </c>
      <c r="F113">
        <v>0</v>
      </c>
      <c r="G113">
        <v>0</v>
      </c>
      <c r="H113">
        <f t="shared" si="3"/>
        <v>0</v>
      </c>
    </row>
    <row r="114" spans="1:8">
      <c r="A114" t="s">
        <v>90</v>
      </c>
      <c r="B114" t="s">
        <v>99</v>
      </c>
      <c r="C114" t="s">
        <v>20</v>
      </c>
      <c r="D114">
        <v>0</v>
      </c>
      <c r="E114">
        <v>0</v>
      </c>
      <c r="F114">
        <v>0</v>
      </c>
      <c r="G114">
        <v>0</v>
      </c>
      <c r="H114">
        <f t="shared" si="3"/>
        <v>0</v>
      </c>
    </row>
    <row r="115" spans="1:8">
      <c r="A115" t="s">
        <v>90</v>
      </c>
      <c r="B115" t="s">
        <v>86</v>
      </c>
      <c r="C115" t="s">
        <v>31</v>
      </c>
      <c r="D115">
        <v>2</v>
      </c>
      <c r="E115">
        <v>0</v>
      </c>
      <c r="F115">
        <v>0</v>
      </c>
      <c r="G115">
        <v>0</v>
      </c>
      <c r="H115">
        <f t="shared" si="3"/>
        <v>0</v>
      </c>
    </row>
    <row r="116" spans="1:8">
      <c r="A116" t="s">
        <v>90</v>
      </c>
      <c r="B116" t="s">
        <v>100</v>
      </c>
      <c r="C116" t="s">
        <v>20</v>
      </c>
      <c r="D116">
        <v>1</v>
      </c>
      <c r="E116">
        <v>0</v>
      </c>
      <c r="F116">
        <v>0</v>
      </c>
      <c r="G116">
        <v>0</v>
      </c>
      <c r="H116">
        <f t="shared" si="3"/>
        <v>0</v>
      </c>
    </row>
    <row r="117" spans="1:8">
      <c r="A117" t="s">
        <v>90</v>
      </c>
      <c r="B117" t="s">
        <v>101</v>
      </c>
      <c r="C117" t="s">
        <v>45</v>
      </c>
      <c r="D117">
        <v>3</v>
      </c>
      <c r="E117">
        <v>0</v>
      </c>
      <c r="F117">
        <v>2</v>
      </c>
      <c r="G117">
        <v>0</v>
      </c>
      <c r="H117">
        <f t="shared" si="3"/>
        <v>2</v>
      </c>
    </row>
    <row r="118" spans="1:8">
      <c r="A118" t="s">
        <v>90</v>
      </c>
      <c r="B118" t="s">
        <v>73</v>
      </c>
      <c r="C118" t="s">
        <v>12</v>
      </c>
      <c r="D118">
        <v>12</v>
      </c>
      <c r="E118">
        <v>0</v>
      </c>
      <c r="F118">
        <v>2</v>
      </c>
      <c r="G118">
        <v>0</v>
      </c>
      <c r="H118">
        <f t="shared" si="3"/>
        <v>2</v>
      </c>
    </row>
    <row r="119" spans="1:8">
      <c r="A119" t="s">
        <v>90</v>
      </c>
      <c r="B119" t="s">
        <v>88</v>
      </c>
      <c r="C119" t="s">
        <v>31</v>
      </c>
      <c r="D119">
        <v>8</v>
      </c>
      <c r="E119">
        <v>0</v>
      </c>
      <c r="F119">
        <v>0</v>
      </c>
      <c r="G119">
        <v>0</v>
      </c>
      <c r="H119">
        <f t="shared" si="3"/>
        <v>0</v>
      </c>
    </row>
    <row r="120" spans="1:8">
      <c r="A120" t="s">
        <v>90</v>
      </c>
      <c r="B120" t="s">
        <v>102</v>
      </c>
      <c r="C120" t="s">
        <v>31</v>
      </c>
      <c r="D120">
        <v>23</v>
      </c>
      <c r="E120">
        <v>0</v>
      </c>
      <c r="F120">
        <v>1</v>
      </c>
      <c r="G120">
        <v>0</v>
      </c>
      <c r="H120">
        <f t="shared" si="3"/>
        <v>1</v>
      </c>
    </row>
    <row r="121" spans="1:8">
      <c r="A121" t="s">
        <v>90</v>
      </c>
      <c r="B121" t="s">
        <v>103</v>
      </c>
      <c r="C121" t="s">
        <v>35</v>
      </c>
      <c r="D121">
        <v>13</v>
      </c>
      <c r="E121">
        <v>0</v>
      </c>
      <c r="F121">
        <v>0</v>
      </c>
      <c r="G121">
        <v>0</v>
      </c>
      <c r="H121">
        <f t="shared" si="3"/>
        <v>0</v>
      </c>
    </row>
    <row r="122" spans="1:8">
      <c r="A122" t="s">
        <v>90</v>
      </c>
      <c r="B122" t="s">
        <v>87</v>
      </c>
      <c r="C122" t="s">
        <v>20</v>
      </c>
      <c r="D122">
        <v>47</v>
      </c>
      <c r="E122">
        <v>0</v>
      </c>
      <c r="F122">
        <v>2</v>
      </c>
      <c r="G122">
        <v>5</v>
      </c>
      <c r="H122">
        <f t="shared" si="3"/>
        <v>2</v>
      </c>
    </row>
    <row r="123" spans="1:8">
      <c r="A123" t="s">
        <v>90</v>
      </c>
      <c r="B123" t="s">
        <v>48</v>
      </c>
      <c r="C123" t="s">
        <v>31</v>
      </c>
      <c r="D123">
        <v>48</v>
      </c>
      <c r="E123">
        <v>0</v>
      </c>
      <c r="F123">
        <v>0</v>
      </c>
      <c r="G123">
        <v>5</v>
      </c>
      <c r="H123">
        <f t="shared" si="3"/>
        <v>0</v>
      </c>
    </row>
    <row r="124" spans="1:8">
      <c r="A124" t="s">
        <v>90</v>
      </c>
      <c r="B124" t="s">
        <v>104</v>
      </c>
      <c r="C124" t="s">
        <v>41</v>
      </c>
      <c r="D124">
        <v>46</v>
      </c>
      <c r="E124">
        <v>0</v>
      </c>
      <c r="F124">
        <v>0</v>
      </c>
      <c r="G124">
        <v>5</v>
      </c>
      <c r="H124">
        <f t="shared" si="3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baseColWidth="10" defaultColWidth="8.83203125" defaultRowHeight="15"/>
  <cols>
    <col min="1" max="1" width="23" customWidth="1"/>
    <col min="2" max="2" width="83" customWidth="1"/>
  </cols>
  <sheetData>
    <row r="1" spans="1:2">
      <c r="A1" s="1" t="s">
        <v>105</v>
      </c>
      <c r="B1" s="1" t="s">
        <v>106</v>
      </c>
    </row>
    <row r="2" spans="1:2">
      <c r="A2" t="s">
        <v>107</v>
      </c>
      <c r="B2" t="s">
        <v>108</v>
      </c>
    </row>
    <row r="3" spans="1:2">
      <c r="A3" t="s">
        <v>109</v>
      </c>
      <c r="B3" t="s">
        <v>110</v>
      </c>
    </row>
    <row r="4" spans="1:2">
      <c r="A4" t="s">
        <v>6</v>
      </c>
      <c r="B4" t="s">
        <v>111</v>
      </c>
    </row>
    <row r="5" spans="1:2">
      <c r="A5" t="s">
        <v>112</v>
      </c>
      <c r="B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9"/>
  <sheetViews>
    <sheetView tabSelected="1" workbookViewId="0">
      <pane ySplit="4" topLeftCell="A64" activePane="bottomLeft" state="frozen"/>
      <selection pane="bottomLeft" activeCell="M1" sqref="M1"/>
    </sheetView>
  </sheetViews>
  <sheetFormatPr baseColWidth="10" defaultColWidth="8.83203125" defaultRowHeight="15"/>
  <cols>
    <col min="1" max="1" width="27" customWidth="1"/>
    <col min="2" max="2" width="12" customWidth="1"/>
    <col min="3" max="4" width="16" customWidth="1"/>
    <col min="5" max="9" width="14" customWidth="1"/>
  </cols>
  <sheetData>
    <row r="1" spans="1:9" ht="39" customHeight="1">
      <c r="A1" s="2" t="s">
        <v>114</v>
      </c>
      <c r="B1" s="2"/>
      <c r="C1" s="2"/>
      <c r="D1" s="2"/>
      <c r="E1" s="2"/>
      <c r="F1" s="2"/>
      <c r="G1" s="2"/>
      <c r="H1" s="2"/>
      <c r="I1" s="2"/>
    </row>
    <row r="2" spans="1:9" ht="25" customHeight="1">
      <c r="A2" s="3" t="s">
        <v>115</v>
      </c>
      <c r="B2" s="3"/>
      <c r="C2" s="3"/>
      <c r="D2" s="3"/>
      <c r="E2" s="3"/>
      <c r="F2" s="3"/>
      <c r="G2" s="3"/>
      <c r="H2" s="3"/>
      <c r="I2" s="3"/>
    </row>
    <row r="3" spans="1:9" ht="16" thickBot="1"/>
    <row r="4" spans="1:9" ht="29" customHeight="1" thickBot="1">
      <c r="A4" s="5" t="s">
        <v>1</v>
      </c>
      <c r="B4" s="6" t="s">
        <v>116</v>
      </c>
      <c r="C4" s="6" t="s">
        <v>117</v>
      </c>
      <c r="D4" s="6" t="s">
        <v>118</v>
      </c>
      <c r="E4" s="6" t="s">
        <v>119</v>
      </c>
      <c r="F4" s="6" t="s">
        <v>120</v>
      </c>
      <c r="G4" s="6" t="s">
        <v>121</v>
      </c>
      <c r="H4" s="6" t="s">
        <v>7</v>
      </c>
      <c r="I4" s="7" t="s">
        <v>6</v>
      </c>
    </row>
    <row r="5" spans="1:9" ht="21" customHeight="1">
      <c r="A5" s="8" t="s">
        <v>26</v>
      </c>
      <c r="B5" s="9">
        <f>COUNTIF('Все сезоны'!$B$2:$B$124,A5)</f>
        <v>3</v>
      </c>
      <c r="C5" s="10" t="s">
        <v>25</v>
      </c>
      <c r="D5" s="10" t="s">
        <v>64</v>
      </c>
      <c r="E5" s="9">
        <f>SUMIF('Все сезоны'!$B$2:$B$124,A5,'Все сезоны'!$D$2:$D$124)</f>
        <v>115</v>
      </c>
      <c r="F5" s="9">
        <f>SUMIF('Все сезоны'!$B$2:$B$124,A5,'Все сезоны'!$E$2:$E$124)</f>
        <v>84</v>
      </c>
      <c r="G5" s="9">
        <f>SUMIF('Все сезоны'!$B$2:$B$124,A5,'Все сезоны'!$F$2:$F$124)</f>
        <v>29</v>
      </c>
      <c r="H5" s="9">
        <f t="shared" ref="H5:H36" si="0">F5+G5</f>
        <v>113</v>
      </c>
      <c r="I5" s="11">
        <f>SUMIF('Все сезоны'!$B$2:$B$124,A5,'Все сезоны'!$G$2:$G$124)</f>
        <v>12</v>
      </c>
    </row>
    <row r="6" spans="1:9" ht="21" customHeight="1">
      <c r="A6" s="8" t="s">
        <v>9</v>
      </c>
      <c r="B6" s="9">
        <f>COUNTIF('Все сезоны'!$B$2:$B$124,A6)</f>
        <v>2</v>
      </c>
      <c r="C6" s="10" t="s">
        <v>8</v>
      </c>
      <c r="D6" s="10" t="s">
        <v>25</v>
      </c>
      <c r="E6" s="9">
        <f>SUMIF('Все сезоны'!$B$2:$B$124,A6,'Все сезоны'!$D$2:$D$124)</f>
        <v>98</v>
      </c>
      <c r="F6" s="9">
        <f>SUMIF('Все сезоны'!$B$2:$B$124,A6,'Все сезоны'!$E$2:$E$124)</f>
        <v>83</v>
      </c>
      <c r="G6" s="9">
        <f>SUMIF('Все сезоны'!$B$2:$B$124,A6,'Все сезоны'!$F$2:$F$124)</f>
        <v>18</v>
      </c>
      <c r="H6" s="9">
        <f t="shared" si="0"/>
        <v>101</v>
      </c>
      <c r="I6" s="11">
        <f>SUMIF('Все сезоны'!$B$2:$B$124,A6,'Все сезоны'!$G$2:$G$124)</f>
        <v>16</v>
      </c>
    </row>
    <row r="7" spans="1:9" ht="21" customHeight="1">
      <c r="A7" s="8" t="s">
        <v>16</v>
      </c>
      <c r="B7" s="9">
        <f>COUNTIF('Все сезоны'!$B$2:$B$124,A7)</f>
        <v>3</v>
      </c>
      <c r="C7" s="10" t="s">
        <v>8</v>
      </c>
      <c r="D7" s="10" t="s">
        <v>43</v>
      </c>
      <c r="E7" s="9">
        <f>SUMIF('Все сезоны'!$B$2:$B$124,A7,'Все сезоны'!$D$2:$D$124)</f>
        <v>133</v>
      </c>
      <c r="F7" s="9">
        <f>SUMIF('Все сезоны'!$B$2:$B$124,A7,'Все сезоны'!$E$2:$E$124)</f>
        <v>44</v>
      </c>
      <c r="G7" s="9">
        <f>SUMIF('Все сезоны'!$B$2:$B$124,A7,'Все сезоны'!$F$2:$F$124)</f>
        <v>36</v>
      </c>
      <c r="H7" s="9">
        <f t="shared" si="0"/>
        <v>80</v>
      </c>
      <c r="I7" s="11">
        <f>SUMIF('Все сезоны'!$B$2:$B$124,A7,'Все сезоны'!$G$2:$G$124)</f>
        <v>23</v>
      </c>
    </row>
    <row r="8" spans="1:9" ht="21" customHeight="1">
      <c r="A8" s="8" t="s">
        <v>44</v>
      </c>
      <c r="B8" s="9">
        <f>COUNTIF('Все сезоны'!$B$2:$B$124,A8)</f>
        <v>3</v>
      </c>
      <c r="C8" s="10" t="s">
        <v>43</v>
      </c>
      <c r="D8" s="10" t="s">
        <v>90</v>
      </c>
      <c r="E8" s="9">
        <f>SUMIF('Все сезоны'!$B$2:$B$124,A8,'Все сезоны'!$D$2:$D$124)</f>
        <v>132</v>
      </c>
      <c r="F8" s="9">
        <f>SUMIF('Все сезоны'!$B$2:$B$124,A8,'Все сезоны'!$E$2:$E$124)</f>
        <v>43</v>
      </c>
      <c r="G8" s="9">
        <f>SUMIF('Все сезоны'!$B$2:$B$124,A8,'Все сезоны'!$F$2:$F$124)</f>
        <v>38</v>
      </c>
      <c r="H8" s="9">
        <f t="shared" si="0"/>
        <v>81</v>
      </c>
      <c r="I8" s="11">
        <f>SUMIF('Все сезоны'!$B$2:$B$124,A8,'Все сезоны'!$G$2:$G$124)</f>
        <v>16</v>
      </c>
    </row>
    <row r="9" spans="1:9" ht="21" customHeight="1">
      <c r="A9" s="8" t="s">
        <v>91</v>
      </c>
      <c r="B9" s="9">
        <f>COUNTIF('Все сезоны'!$B$2:$B$124,A9)</f>
        <v>1</v>
      </c>
      <c r="C9" s="10" t="s">
        <v>90</v>
      </c>
      <c r="D9" s="10" t="s">
        <v>90</v>
      </c>
      <c r="E9" s="9">
        <f>SUMIF('Все сезоны'!$B$2:$B$124,A9,'Все сезоны'!$D$2:$D$124)</f>
        <v>33</v>
      </c>
      <c r="F9" s="9">
        <f>SUMIF('Все сезоны'!$B$2:$B$124,A9,'Все сезоны'!$E$2:$E$124)</f>
        <v>43</v>
      </c>
      <c r="G9" s="9">
        <f>SUMIF('Все сезоны'!$B$2:$B$124,A9,'Все сезоны'!$F$2:$F$124)</f>
        <v>5</v>
      </c>
      <c r="H9" s="9">
        <f t="shared" si="0"/>
        <v>48</v>
      </c>
      <c r="I9" s="11">
        <f>SUMIF('Все сезоны'!$B$2:$B$124,A9,'Все сезоны'!$G$2:$G$124)</f>
        <v>4</v>
      </c>
    </row>
    <row r="10" spans="1:9" ht="21" customHeight="1">
      <c r="A10" s="8" t="s">
        <v>13</v>
      </c>
      <c r="B10" s="9">
        <f>COUNTIF('Все сезоны'!$B$2:$B$124,A10)</f>
        <v>4</v>
      </c>
      <c r="C10" s="10" t="s">
        <v>8</v>
      </c>
      <c r="D10" s="10" t="s">
        <v>90</v>
      </c>
      <c r="E10" s="9">
        <f>SUMIF('Все сезоны'!$B$2:$B$124,A10,'Все сезоны'!$D$2:$D$124)</f>
        <v>154</v>
      </c>
      <c r="F10" s="9">
        <f>SUMIF('Все сезоны'!$B$2:$B$124,A10,'Все сезоны'!$E$2:$E$124)</f>
        <v>33</v>
      </c>
      <c r="G10" s="9">
        <f>SUMIF('Все сезоны'!$B$2:$B$124,A10,'Все сезоны'!$F$2:$F$124)</f>
        <v>34</v>
      </c>
      <c r="H10" s="9">
        <f t="shared" si="0"/>
        <v>67</v>
      </c>
      <c r="I10" s="11">
        <f>SUMIF('Все сезоны'!$B$2:$B$124,A10,'Все сезоны'!$G$2:$G$124)</f>
        <v>24</v>
      </c>
    </row>
    <row r="11" spans="1:9" ht="21" customHeight="1">
      <c r="A11" s="8" t="s">
        <v>11</v>
      </c>
      <c r="B11" s="9">
        <f>COUNTIF('Все сезоны'!$B$2:$B$124,A11)</f>
        <v>4</v>
      </c>
      <c r="C11" s="10" t="s">
        <v>8</v>
      </c>
      <c r="D11" s="10" t="s">
        <v>64</v>
      </c>
      <c r="E11" s="9">
        <f>SUMIF('Все сезоны'!$B$2:$B$124,A11,'Все сезоны'!$D$2:$D$124)</f>
        <v>129</v>
      </c>
      <c r="F11" s="9">
        <f>SUMIF('Все сезоны'!$B$2:$B$124,A11,'Все сезоны'!$E$2:$E$124)</f>
        <v>32</v>
      </c>
      <c r="G11" s="9">
        <f>SUMIF('Все сезоны'!$B$2:$B$124,A11,'Все сезоны'!$F$2:$F$124)</f>
        <v>26</v>
      </c>
      <c r="H11" s="9">
        <f t="shared" si="0"/>
        <v>58</v>
      </c>
      <c r="I11" s="11">
        <f>SUMIF('Все сезоны'!$B$2:$B$124,A11,'Все сезоны'!$G$2:$G$124)</f>
        <v>22</v>
      </c>
    </row>
    <row r="12" spans="1:9" ht="21" customHeight="1">
      <c r="A12" s="8" t="s">
        <v>15</v>
      </c>
      <c r="B12" s="9">
        <f>COUNTIF('Все сезоны'!$B$2:$B$124,A12)</f>
        <v>5</v>
      </c>
      <c r="C12" s="10" t="s">
        <v>8</v>
      </c>
      <c r="D12" s="10" t="s">
        <v>90</v>
      </c>
      <c r="E12" s="9">
        <f>SUMIF('Все сезоны'!$B$2:$B$124,A12,'Все сезоны'!$D$2:$D$124)</f>
        <v>229</v>
      </c>
      <c r="F12" s="9">
        <f>SUMIF('Все сезоны'!$B$2:$B$124,A12,'Все сезоны'!$E$2:$E$124)</f>
        <v>31</v>
      </c>
      <c r="G12" s="9">
        <f>SUMIF('Все сезоны'!$B$2:$B$124,A12,'Все сезоны'!$F$2:$F$124)</f>
        <v>44</v>
      </c>
      <c r="H12" s="9">
        <f t="shared" si="0"/>
        <v>75</v>
      </c>
      <c r="I12" s="11">
        <f>SUMIF('Все сезоны'!$B$2:$B$124,A12,'Все сезоны'!$G$2:$G$124)</f>
        <v>41</v>
      </c>
    </row>
    <row r="13" spans="1:9" ht="21" customHeight="1">
      <c r="A13" s="8" t="s">
        <v>66</v>
      </c>
      <c r="B13" s="9">
        <f>COUNTIF('Все сезоны'!$B$2:$B$124,A13)</f>
        <v>2</v>
      </c>
      <c r="C13" s="10" t="s">
        <v>64</v>
      </c>
      <c r="D13" s="10" t="s">
        <v>90</v>
      </c>
      <c r="E13" s="9">
        <f>SUMIF('Все сезоны'!$B$2:$B$124,A13,'Все сезоны'!$D$2:$D$124)</f>
        <v>92</v>
      </c>
      <c r="F13" s="9">
        <f>SUMIF('Все сезоны'!$B$2:$B$124,A13,'Все сезоны'!$E$2:$E$124)</f>
        <v>26</v>
      </c>
      <c r="G13" s="9">
        <f>SUMIF('Все сезоны'!$B$2:$B$124,A13,'Все сезоны'!$F$2:$F$124)</f>
        <v>35</v>
      </c>
      <c r="H13" s="9">
        <f t="shared" si="0"/>
        <v>61</v>
      </c>
      <c r="I13" s="11">
        <f>SUMIF('Все сезоны'!$B$2:$B$124,A13,'Все сезоны'!$G$2:$G$124)</f>
        <v>11</v>
      </c>
    </row>
    <row r="14" spans="1:9" ht="21" customHeight="1">
      <c r="A14" s="8" t="s">
        <v>65</v>
      </c>
      <c r="B14" s="9">
        <f>COUNTIF('Все сезоны'!$B$2:$B$124,A14)</f>
        <v>2</v>
      </c>
      <c r="C14" s="10" t="s">
        <v>64</v>
      </c>
      <c r="D14" s="10" t="s">
        <v>90</v>
      </c>
      <c r="E14" s="9">
        <f>SUMIF('Все сезоны'!$B$2:$B$124,A14,'Все сезоны'!$D$2:$D$124)</f>
        <v>83</v>
      </c>
      <c r="F14" s="9">
        <f>SUMIF('Все сезоны'!$B$2:$B$124,A14,'Все сезоны'!$E$2:$E$124)</f>
        <v>26</v>
      </c>
      <c r="G14" s="9">
        <f>SUMIF('Все сезоны'!$B$2:$B$124,A14,'Все сезоны'!$F$2:$F$124)</f>
        <v>18</v>
      </c>
      <c r="H14" s="9">
        <f t="shared" si="0"/>
        <v>44</v>
      </c>
      <c r="I14" s="11">
        <f>SUMIF('Все сезоны'!$B$2:$B$124,A14,'Все сезоны'!$G$2:$G$124)</f>
        <v>11</v>
      </c>
    </row>
    <row r="15" spans="1:9" ht="21" customHeight="1">
      <c r="A15" s="8" t="s">
        <v>92</v>
      </c>
      <c r="B15" s="9">
        <f>COUNTIF('Все сезоны'!$B$2:$B$124,A15)</f>
        <v>1</v>
      </c>
      <c r="C15" s="10" t="s">
        <v>90</v>
      </c>
      <c r="D15" s="10" t="s">
        <v>90</v>
      </c>
      <c r="E15" s="9">
        <f>SUMIF('Все сезоны'!$B$2:$B$124,A15,'Все сезоны'!$D$2:$D$124)</f>
        <v>43</v>
      </c>
      <c r="F15" s="9">
        <f>SUMIF('Все сезоны'!$B$2:$B$124,A15,'Все сезоны'!$E$2:$E$124)</f>
        <v>24</v>
      </c>
      <c r="G15" s="9">
        <f>SUMIF('Все сезоны'!$B$2:$B$124,A15,'Все сезоны'!$F$2:$F$124)</f>
        <v>5</v>
      </c>
      <c r="H15" s="9">
        <f t="shared" si="0"/>
        <v>29</v>
      </c>
      <c r="I15" s="11">
        <f>SUMIF('Все сезоны'!$B$2:$B$124,A15,'Все сезоны'!$G$2:$G$124)</f>
        <v>0</v>
      </c>
    </row>
    <row r="16" spans="1:9" ht="21" customHeight="1">
      <c r="A16" s="8" t="s">
        <v>46</v>
      </c>
      <c r="B16" s="9">
        <f>COUNTIF('Все сезоны'!$B$2:$B$124,A16)</f>
        <v>1</v>
      </c>
      <c r="C16" s="10" t="s">
        <v>43</v>
      </c>
      <c r="D16" s="10" t="s">
        <v>43</v>
      </c>
      <c r="E16" s="9">
        <f>SUMIF('Все сезоны'!$B$2:$B$124,A16,'Все сезоны'!$D$2:$D$124)</f>
        <v>33</v>
      </c>
      <c r="F16" s="9">
        <f>SUMIF('Все сезоны'!$B$2:$B$124,A16,'Все сезоны'!$E$2:$E$124)</f>
        <v>13</v>
      </c>
      <c r="G16" s="9">
        <f>SUMIF('Все сезоны'!$B$2:$B$124,A16,'Все сезоны'!$F$2:$F$124)</f>
        <v>4</v>
      </c>
      <c r="H16" s="9">
        <f t="shared" si="0"/>
        <v>17</v>
      </c>
      <c r="I16" s="11">
        <f>SUMIF('Все сезоны'!$B$2:$B$124,A16,'Все сезоны'!$G$2:$G$124)</f>
        <v>0</v>
      </c>
    </row>
    <row r="17" spans="1:9" ht="21" customHeight="1">
      <c r="A17" s="8" t="s">
        <v>27</v>
      </c>
      <c r="B17" s="9">
        <f>COUNTIF('Все сезоны'!$B$2:$B$124,A17)</f>
        <v>2</v>
      </c>
      <c r="C17" s="10" t="s">
        <v>25</v>
      </c>
      <c r="D17" s="10" t="s">
        <v>43</v>
      </c>
      <c r="E17" s="9">
        <f>SUMIF('Все сезоны'!$B$2:$B$124,A17,'Все сезоны'!$D$2:$D$124)</f>
        <v>49</v>
      </c>
      <c r="F17" s="9">
        <f>SUMIF('Все сезоны'!$B$2:$B$124,A17,'Все сезоны'!$E$2:$E$124)</f>
        <v>11</v>
      </c>
      <c r="G17" s="9">
        <f>SUMIF('Все сезоны'!$B$2:$B$124,A17,'Все сезоны'!$F$2:$F$124)</f>
        <v>14</v>
      </c>
      <c r="H17" s="9">
        <f t="shared" si="0"/>
        <v>25</v>
      </c>
      <c r="I17" s="11">
        <f>SUMIF('Все сезоны'!$B$2:$B$124,A17,'Все сезоны'!$G$2:$G$124)</f>
        <v>4</v>
      </c>
    </row>
    <row r="18" spans="1:9" ht="21" customHeight="1">
      <c r="A18" s="8" t="s">
        <v>70</v>
      </c>
      <c r="B18" s="9">
        <f>COUNTIF('Все сезоны'!$B$2:$B$124,A18)</f>
        <v>2</v>
      </c>
      <c r="C18" s="10" t="s">
        <v>64</v>
      </c>
      <c r="D18" s="10" t="s">
        <v>90</v>
      </c>
      <c r="E18" s="9">
        <f>SUMIF('Все сезоны'!$B$2:$B$124,A18,'Все сезоны'!$D$2:$D$124)</f>
        <v>25</v>
      </c>
      <c r="F18" s="9">
        <f>SUMIF('Все сезоны'!$B$2:$B$124,A18,'Все сезоны'!$E$2:$E$124)</f>
        <v>11</v>
      </c>
      <c r="G18" s="9">
        <f>SUMIF('Все сезоны'!$B$2:$B$124,A18,'Все сезоны'!$F$2:$F$124)</f>
        <v>6</v>
      </c>
      <c r="H18" s="9">
        <f t="shared" si="0"/>
        <v>17</v>
      </c>
      <c r="I18" s="11">
        <f>SUMIF('Все сезоны'!$B$2:$B$124,A18,'Все сезоны'!$G$2:$G$124)</f>
        <v>1</v>
      </c>
    </row>
    <row r="19" spans="1:9" ht="21" customHeight="1">
      <c r="A19" s="8" t="s">
        <v>93</v>
      </c>
      <c r="B19" s="9">
        <f>COUNTIF('Все сезоны'!$B$2:$B$124,A19)</f>
        <v>1</v>
      </c>
      <c r="C19" s="10" t="s">
        <v>90</v>
      </c>
      <c r="D19" s="10" t="s">
        <v>90</v>
      </c>
      <c r="E19" s="9">
        <f>SUMIF('Все сезоны'!$B$2:$B$124,A19,'Все сезоны'!$D$2:$D$124)</f>
        <v>35</v>
      </c>
      <c r="F19" s="9">
        <f>SUMIF('Все сезоны'!$B$2:$B$124,A19,'Все сезоны'!$E$2:$E$124)</f>
        <v>9</v>
      </c>
      <c r="G19" s="9">
        <f>SUMIF('Все сезоны'!$B$2:$B$124,A19,'Все сезоны'!$F$2:$F$124)</f>
        <v>9</v>
      </c>
      <c r="H19" s="9">
        <f t="shared" si="0"/>
        <v>18</v>
      </c>
      <c r="I19" s="11">
        <f>SUMIF('Все сезоны'!$B$2:$B$124,A19,'Все сезоны'!$G$2:$G$124)</f>
        <v>1</v>
      </c>
    </row>
    <row r="20" spans="1:9" ht="21" customHeight="1">
      <c r="A20" s="8" t="s">
        <v>67</v>
      </c>
      <c r="B20" s="9">
        <f>COUNTIF('Все сезоны'!$B$2:$B$124,A20)</f>
        <v>1</v>
      </c>
      <c r="C20" s="10" t="s">
        <v>64</v>
      </c>
      <c r="D20" s="10" t="s">
        <v>64</v>
      </c>
      <c r="E20" s="9">
        <f>SUMIF('Все сезоны'!$B$2:$B$124,A20,'Все сезоны'!$D$2:$D$124)</f>
        <v>31</v>
      </c>
      <c r="F20" s="9">
        <f>SUMIF('Все сезоны'!$B$2:$B$124,A20,'Все сезоны'!$E$2:$E$124)</f>
        <v>8</v>
      </c>
      <c r="G20" s="9">
        <f>SUMIF('Все сезоны'!$B$2:$B$124,A20,'Все сезоны'!$F$2:$F$124)</f>
        <v>1</v>
      </c>
      <c r="H20" s="9">
        <f t="shared" si="0"/>
        <v>9</v>
      </c>
      <c r="I20" s="11">
        <f>SUMIF('Все сезоны'!$B$2:$B$124,A20,'Все сезоны'!$G$2:$G$124)</f>
        <v>3</v>
      </c>
    </row>
    <row r="21" spans="1:9" ht="21" customHeight="1">
      <c r="A21" s="8" t="s">
        <v>94</v>
      </c>
      <c r="B21" s="9">
        <f>COUNTIF('Все сезоны'!$B$2:$B$124,A21)</f>
        <v>1</v>
      </c>
      <c r="C21" s="10" t="s">
        <v>90</v>
      </c>
      <c r="D21" s="10" t="s">
        <v>90</v>
      </c>
      <c r="E21" s="9">
        <f>SUMIF('Все сезоны'!$B$2:$B$124,A21,'Все сезоны'!$D$2:$D$124)</f>
        <v>24</v>
      </c>
      <c r="F21" s="9">
        <f>SUMIF('Все сезоны'!$B$2:$B$124,A21,'Все сезоны'!$E$2:$E$124)</f>
        <v>8</v>
      </c>
      <c r="G21" s="9">
        <f>SUMIF('Все сезоны'!$B$2:$B$124,A21,'Все сезоны'!$F$2:$F$124)</f>
        <v>2</v>
      </c>
      <c r="H21" s="9">
        <f t="shared" si="0"/>
        <v>10</v>
      </c>
      <c r="I21" s="11">
        <f>SUMIF('Все сезоны'!$B$2:$B$124,A21,'Все сезоны'!$G$2:$G$124)</f>
        <v>2</v>
      </c>
    </row>
    <row r="22" spans="1:9" ht="21" customHeight="1">
      <c r="A22" s="8" t="s">
        <v>47</v>
      </c>
      <c r="B22" s="9">
        <f>COUNTIF('Все сезоны'!$B$2:$B$124,A22)</f>
        <v>3</v>
      </c>
      <c r="C22" s="10" t="s">
        <v>43</v>
      </c>
      <c r="D22" s="10" t="s">
        <v>90</v>
      </c>
      <c r="E22" s="9">
        <f>SUMIF('Все сезоны'!$B$2:$B$124,A22,'Все сезоны'!$D$2:$D$124)</f>
        <v>114</v>
      </c>
      <c r="F22" s="9">
        <f>SUMIF('Все сезоны'!$B$2:$B$124,A22,'Все сезоны'!$E$2:$E$124)</f>
        <v>7</v>
      </c>
      <c r="G22" s="9">
        <f>SUMIF('Все сезоны'!$B$2:$B$124,A22,'Все сезоны'!$F$2:$F$124)</f>
        <v>4</v>
      </c>
      <c r="H22" s="9">
        <f t="shared" si="0"/>
        <v>11</v>
      </c>
      <c r="I22" s="11">
        <f>SUMIF('Все сезоны'!$B$2:$B$124,A22,'Все сезоны'!$G$2:$G$124)</f>
        <v>9</v>
      </c>
    </row>
    <row r="23" spans="1:9" ht="21" customHeight="1">
      <c r="A23" s="8" t="s">
        <v>28</v>
      </c>
      <c r="B23" s="9">
        <f>COUNTIF('Все сезоны'!$B$2:$B$124,A23)</f>
        <v>2</v>
      </c>
      <c r="C23" s="10" t="s">
        <v>25</v>
      </c>
      <c r="D23" s="10" t="s">
        <v>43</v>
      </c>
      <c r="E23" s="9">
        <f>SUMIF('Все сезоны'!$B$2:$B$124,A23,'Все сезоны'!$D$2:$D$124)</f>
        <v>38</v>
      </c>
      <c r="F23" s="9">
        <f>SUMIF('Все сезоны'!$B$2:$B$124,A23,'Все сезоны'!$E$2:$E$124)</f>
        <v>6</v>
      </c>
      <c r="G23" s="9">
        <f>SUMIF('Все сезоны'!$B$2:$B$124,A23,'Все сезоны'!$F$2:$F$124)</f>
        <v>2</v>
      </c>
      <c r="H23" s="9">
        <f t="shared" si="0"/>
        <v>8</v>
      </c>
      <c r="I23" s="11">
        <f>SUMIF('Все сезоны'!$B$2:$B$124,A23,'Все сезоны'!$G$2:$G$124)</f>
        <v>0</v>
      </c>
    </row>
    <row r="24" spans="1:9" ht="21" customHeight="1">
      <c r="A24" s="8" t="s">
        <v>18</v>
      </c>
      <c r="B24" s="9">
        <f>COUNTIF('Все сезоны'!$B$2:$B$124,A24)</f>
        <v>1</v>
      </c>
      <c r="C24" s="10" t="s">
        <v>8</v>
      </c>
      <c r="D24" s="10" t="s">
        <v>8</v>
      </c>
      <c r="E24" s="9">
        <f>SUMIF('Все сезоны'!$B$2:$B$124,A24,'Все сезоны'!$D$2:$D$124)</f>
        <v>23</v>
      </c>
      <c r="F24" s="9">
        <f>SUMIF('Все сезоны'!$B$2:$B$124,A24,'Все сезоны'!$E$2:$E$124)</f>
        <v>6</v>
      </c>
      <c r="G24" s="9">
        <f>SUMIF('Все сезоны'!$B$2:$B$124,A24,'Все сезоны'!$F$2:$F$124)</f>
        <v>1</v>
      </c>
      <c r="H24" s="9">
        <f t="shared" si="0"/>
        <v>7</v>
      </c>
      <c r="I24" s="11">
        <f>SUMIF('Все сезоны'!$B$2:$B$124,A24,'Все сезоны'!$G$2:$G$124)</f>
        <v>0</v>
      </c>
    </row>
    <row r="25" spans="1:9" ht="21" customHeight="1">
      <c r="A25" s="8" t="s">
        <v>19</v>
      </c>
      <c r="B25" s="9">
        <f>COUNTIF('Все сезоны'!$B$2:$B$124,A25)</f>
        <v>2</v>
      </c>
      <c r="C25" s="10" t="s">
        <v>8</v>
      </c>
      <c r="D25" s="10" t="s">
        <v>25</v>
      </c>
      <c r="E25" s="9">
        <f>SUMIF('Все сезоны'!$B$2:$B$124,A25,'Все сезоны'!$D$2:$D$124)</f>
        <v>87</v>
      </c>
      <c r="F25" s="9">
        <f>SUMIF('Все сезоны'!$B$2:$B$124,A25,'Все сезоны'!$E$2:$E$124)</f>
        <v>5</v>
      </c>
      <c r="G25" s="9">
        <f>SUMIF('Все сезоны'!$B$2:$B$124,A25,'Все сезоны'!$F$2:$F$124)</f>
        <v>13</v>
      </c>
      <c r="H25" s="9">
        <f t="shared" si="0"/>
        <v>18</v>
      </c>
      <c r="I25" s="11">
        <f>SUMIF('Все сезоны'!$B$2:$B$124,A25,'Все сезоны'!$G$2:$G$124)</f>
        <v>18</v>
      </c>
    </row>
    <row r="26" spans="1:9" ht="21" customHeight="1">
      <c r="A26" s="8" t="s">
        <v>69</v>
      </c>
      <c r="B26" s="9">
        <f>COUNTIF('Все сезоны'!$B$2:$B$124,A26)</f>
        <v>1</v>
      </c>
      <c r="C26" s="10" t="s">
        <v>64</v>
      </c>
      <c r="D26" s="10" t="s">
        <v>64</v>
      </c>
      <c r="E26" s="9">
        <f>SUMIF('Все сезоны'!$B$2:$B$124,A26,'Все сезоны'!$D$2:$D$124)</f>
        <v>29</v>
      </c>
      <c r="F26" s="9">
        <f>SUMIF('Все сезоны'!$B$2:$B$124,A26,'Все сезоны'!$E$2:$E$124)</f>
        <v>5</v>
      </c>
      <c r="G26" s="9">
        <f>SUMIF('Все сезоны'!$B$2:$B$124,A26,'Все сезоны'!$F$2:$F$124)</f>
        <v>6</v>
      </c>
      <c r="H26" s="9">
        <f t="shared" si="0"/>
        <v>11</v>
      </c>
      <c r="I26" s="11">
        <f>SUMIF('Все сезоны'!$B$2:$B$124,A26,'Все сезоны'!$G$2:$G$124)</f>
        <v>4</v>
      </c>
    </row>
    <row r="27" spans="1:9" ht="21" customHeight="1">
      <c r="A27" s="8" t="s">
        <v>68</v>
      </c>
      <c r="B27" s="9">
        <f>COUNTIF('Все сезоны'!$B$2:$B$124,A27)</f>
        <v>1</v>
      </c>
      <c r="C27" s="10" t="s">
        <v>64</v>
      </c>
      <c r="D27" s="10" t="s">
        <v>64</v>
      </c>
      <c r="E27" s="9">
        <f>SUMIF('Все сезоны'!$B$2:$B$124,A27,'Все сезоны'!$D$2:$D$124)</f>
        <v>25</v>
      </c>
      <c r="F27" s="9">
        <f>SUMIF('Все сезоны'!$B$2:$B$124,A27,'Все сезоны'!$E$2:$E$124)</f>
        <v>5</v>
      </c>
      <c r="G27" s="9">
        <f>SUMIF('Все сезоны'!$B$2:$B$124,A27,'Все сезоны'!$F$2:$F$124)</f>
        <v>4</v>
      </c>
      <c r="H27" s="9">
        <f t="shared" si="0"/>
        <v>9</v>
      </c>
      <c r="I27" s="11">
        <f>SUMIF('Все сезоны'!$B$2:$B$124,A27,'Все сезоны'!$G$2:$G$124)</f>
        <v>3</v>
      </c>
    </row>
    <row r="28" spans="1:9" ht="21" customHeight="1">
      <c r="A28" s="8" t="s">
        <v>30</v>
      </c>
      <c r="B28" s="9">
        <f>COUNTIF('Все сезоны'!$B$2:$B$124,A28)</f>
        <v>4</v>
      </c>
      <c r="C28" s="10" t="s">
        <v>25</v>
      </c>
      <c r="D28" s="10" t="s">
        <v>90</v>
      </c>
      <c r="E28" s="9">
        <f>SUMIF('Все сезоны'!$B$2:$B$124,A28,'Все сезоны'!$D$2:$D$124)</f>
        <v>159</v>
      </c>
      <c r="F28" s="9">
        <f>SUMIF('Все сезоны'!$B$2:$B$124,A28,'Все сезоны'!$E$2:$E$124)</f>
        <v>4</v>
      </c>
      <c r="G28" s="9">
        <f>SUMIF('Все сезоны'!$B$2:$B$124,A28,'Все сезоны'!$F$2:$F$124)</f>
        <v>5</v>
      </c>
      <c r="H28" s="9">
        <f t="shared" si="0"/>
        <v>9</v>
      </c>
      <c r="I28" s="11">
        <f>SUMIF('Все сезоны'!$B$2:$B$124,A28,'Все сезоны'!$G$2:$G$124)</f>
        <v>20</v>
      </c>
    </row>
    <row r="29" spans="1:9" ht="21" customHeight="1">
      <c r="A29" s="8" t="s">
        <v>29</v>
      </c>
      <c r="B29" s="9">
        <f>COUNTIF('Все сезоны'!$B$2:$B$124,A29)</f>
        <v>1</v>
      </c>
      <c r="C29" s="10" t="s">
        <v>25</v>
      </c>
      <c r="D29" s="10" t="s">
        <v>25</v>
      </c>
      <c r="E29" s="9">
        <f>SUMIF('Все сезоны'!$B$2:$B$124,A29,'Все сезоны'!$D$2:$D$124)</f>
        <v>28</v>
      </c>
      <c r="F29" s="9">
        <f>SUMIF('Все сезоны'!$B$2:$B$124,A29,'Все сезоны'!$E$2:$E$124)</f>
        <v>4</v>
      </c>
      <c r="G29" s="9">
        <f>SUMIF('Все сезоны'!$B$2:$B$124,A29,'Все сезоны'!$F$2:$F$124)</f>
        <v>3</v>
      </c>
      <c r="H29" s="9">
        <f t="shared" si="0"/>
        <v>7</v>
      </c>
      <c r="I29" s="11">
        <f>SUMIF('Все сезоны'!$B$2:$B$124,A29,'Все сезоны'!$G$2:$G$124)</f>
        <v>2</v>
      </c>
    </row>
    <row r="30" spans="1:9" ht="21" customHeight="1">
      <c r="A30" s="8" t="s">
        <v>48</v>
      </c>
      <c r="B30" s="9">
        <f>COUNTIF('Все сезоны'!$B$2:$B$124,A30)</f>
        <v>2</v>
      </c>
      <c r="C30" s="10" t="s">
        <v>43</v>
      </c>
      <c r="D30" s="10" t="s">
        <v>90</v>
      </c>
      <c r="E30" s="9">
        <f>SUMIF('Все сезоны'!$B$2:$B$124,A30,'Все сезоны'!$D$2:$D$124)</f>
        <v>82</v>
      </c>
      <c r="F30" s="9">
        <f>SUMIF('Все сезоны'!$B$2:$B$124,A30,'Все сезоны'!$E$2:$E$124)</f>
        <v>3</v>
      </c>
      <c r="G30" s="9">
        <f>SUMIF('Все сезоны'!$B$2:$B$124,A30,'Все сезоны'!$F$2:$F$124)</f>
        <v>2</v>
      </c>
      <c r="H30" s="9">
        <f t="shared" si="0"/>
        <v>5</v>
      </c>
      <c r="I30" s="11">
        <f>SUMIF('Все сезоны'!$B$2:$B$124,A30,'Все сезоны'!$G$2:$G$124)</f>
        <v>10</v>
      </c>
    </row>
    <row r="31" spans="1:9" ht="21" customHeight="1">
      <c r="A31" s="8" t="s">
        <v>21</v>
      </c>
      <c r="B31" s="9">
        <f>COUNTIF('Все сезоны'!$B$2:$B$124,A31)</f>
        <v>1</v>
      </c>
      <c r="C31" s="10" t="s">
        <v>8</v>
      </c>
      <c r="D31" s="10" t="s">
        <v>8</v>
      </c>
      <c r="E31" s="9">
        <f>SUMIF('Все сезоны'!$B$2:$B$124,A31,'Все сезоны'!$D$2:$D$124)</f>
        <v>52</v>
      </c>
      <c r="F31" s="9">
        <f>SUMIF('Все сезоны'!$B$2:$B$124,A31,'Все сезоны'!$E$2:$E$124)</f>
        <v>2</v>
      </c>
      <c r="G31" s="9">
        <f>SUMIF('Все сезоны'!$B$2:$B$124,A31,'Все сезоны'!$F$2:$F$124)</f>
        <v>5</v>
      </c>
      <c r="H31" s="9">
        <f t="shared" si="0"/>
        <v>7</v>
      </c>
      <c r="I31" s="11">
        <f>SUMIF('Все сезоны'!$B$2:$B$124,A31,'Все сезоны'!$G$2:$G$124)</f>
        <v>13</v>
      </c>
    </row>
    <row r="32" spans="1:9" ht="21" customHeight="1">
      <c r="A32" s="8" t="s">
        <v>52</v>
      </c>
      <c r="B32" s="9">
        <f>COUNTIF('Все сезоны'!$B$2:$B$124,A32)</f>
        <v>2</v>
      </c>
      <c r="C32" s="10" t="s">
        <v>43</v>
      </c>
      <c r="D32" s="10" t="s">
        <v>64</v>
      </c>
      <c r="E32" s="9">
        <f>SUMIF('Все сезоны'!$B$2:$B$124,A32,'Все сезоны'!$D$2:$D$124)</f>
        <v>41</v>
      </c>
      <c r="F32" s="9">
        <f>SUMIF('Все сезоны'!$B$2:$B$124,A32,'Все сезоны'!$E$2:$E$124)</f>
        <v>2</v>
      </c>
      <c r="G32" s="9">
        <f>SUMIF('Все сезоны'!$B$2:$B$124,A32,'Все сезоны'!$F$2:$F$124)</f>
        <v>9</v>
      </c>
      <c r="H32" s="9">
        <f t="shared" si="0"/>
        <v>11</v>
      </c>
      <c r="I32" s="11">
        <f>SUMIF('Все сезоны'!$B$2:$B$124,A32,'Все сезоны'!$G$2:$G$124)</f>
        <v>3</v>
      </c>
    </row>
    <row r="33" spans="1:9" ht="21" customHeight="1">
      <c r="A33" s="8" t="s">
        <v>95</v>
      </c>
      <c r="B33" s="9">
        <f>COUNTIF('Все сезоны'!$B$2:$B$124,A33)</f>
        <v>1</v>
      </c>
      <c r="C33" s="10" t="s">
        <v>90</v>
      </c>
      <c r="D33" s="10" t="s">
        <v>90</v>
      </c>
      <c r="E33" s="9">
        <f>SUMIF('Все сезоны'!$B$2:$B$124,A33,'Все сезоны'!$D$2:$D$124)</f>
        <v>32</v>
      </c>
      <c r="F33" s="9">
        <f>SUMIF('Все сезоны'!$B$2:$B$124,A33,'Все сезоны'!$E$2:$E$124)</f>
        <v>2</v>
      </c>
      <c r="G33" s="9">
        <f>SUMIF('Все сезоны'!$B$2:$B$124,A33,'Все сезоны'!$F$2:$F$124)</f>
        <v>3</v>
      </c>
      <c r="H33" s="9">
        <f t="shared" si="0"/>
        <v>5</v>
      </c>
      <c r="I33" s="11">
        <f>SUMIF('Все сезоны'!$B$2:$B$124,A33,'Все сезоны'!$G$2:$G$124)</f>
        <v>0</v>
      </c>
    </row>
    <row r="34" spans="1:9" ht="21" customHeight="1">
      <c r="A34" s="8" t="s">
        <v>23</v>
      </c>
      <c r="B34" s="9">
        <f>COUNTIF('Все сезоны'!$B$2:$B$124,A34)</f>
        <v>1</v>
      </c>
      <c r="C34" s="10" t="s">
        <v>8</v>
      </c>
      <c r="D34" s="10" t="s">
        <v>8</v>
      </c>
      <c r="E34" s="9">
        <f>SUMIF('Все сезоны'!$B$2:$B$124,A34,'Все сезоны'!$D$2:$D$124)</f>
        <v>29</v>
      </c>
      <c r="F34" s="9">
        <f>SUMIF('Все сезоны'!$B$2:$B$124,A34,'Все сезоны'!$E$2:$E$124)</f>
        <v>2</v>
      </c>
      <c r="G34" s="9">
        <f>SUMIF('Все сезоны'!$B$2:$B$124,A34,'Все сезоны'!$F$2:$F$124)</f>
        <v>3</v>
      </c>
      <c r="H34" s="9">
        <f t="shared" si="0"/>
        <v>5</v>
      </c>
      <c r="I34" s="11">
        <f>SUMIF('Все сезоны'!$B$2:$B$124,A34,'Все сезоны'!$G$2:$G$124)</f>
        <v>1</v>
      </c>
    </row>
    <row r="35" spans="1:9" ht="21" customHeight="1">
      <c r="A35" s="8" t="s">
        <v>49</v>
      </c>
      <c r="B35" s="9">
        <f>COUNTIF('Все сезоны'!$B$2:$B$124,A35)</f>
        <v>1</v>
      </c>
      <c r="C35" s="10" t="s">
        <v>43</v>
      </c>
      <c r="D35" s="10" t="s">
        <v>43</v>
      </c>
      <c r="E35" s="9">
        <f>SUMIF('Все сезоны'!$B$2:$B$124,A35,'Все сезоны'!$D$2:$D$124)</f>
        <v>25</v>
      </c>
      <c r="F35" s="9">
        <f>SUMIF('Все сезоны'!$B$2:$B$124,A35,'Все сезоны'!$E$2:$E$124)</f>
        <v>2</v>
      </c>
      <c r="G35" s="9">
        <f>SUMIF('Все сезоны'!$B$2:$B$124,A35,'Все сезоны'!$F$2:$F$124)</f>
        <v>3</v>
      </c>
      <c r="H35" s="9">
        <f t="shared" si="0"/>
        <v>5</v>
      </c>
      <c r="I35" s="11">
        <f>SUMIF('Все сезоны'!$B$2:$B$124,A35,'Все сезоны'!$G$2:$G$124)</f>
        <v>4</v>
      </c>
    </row>
    <row r="36" spans="1:9" ht="21" customHeight="1">
      <c r="A36" s="8" t="s">
        <v>50</v>
      </c>
      <c r="B36" s="9">
        <f>COUNTIF('Все сезоны'!$B$2:$B$124,A36)</f>
        <v>1</v>
      </c>
      <c r="C36" s="10" t="s">
        <v>43</v>
      </c>
      <c r="D36" s="10" t="s">
        <v>43</v>
      </c>
      <c r="E36" s="9">
        <f>SUMIF('Все сезоны'!$B$2:$B$124,A36,'Все сезоны'!$D$2:$D$124)</f>
        <v>21</v>
      </c>
      <c r="F36" s="9">
        <f>SUMIF('Все сезоны'!$B$2:$B$124,A36,'Все сезоны'!$E$2:$E$124)</f>
        <v>2</v>
      </c>
      <c r="G36" s="9">
        <f>SUMIF('Все сезоны'!$B$2:$B$124,A36,'Все сезоны'!$F$2:$F$124)</f>
        <v>1</v>
      </c>
      <c r="H36" s="9">
        <f t="shared" si="0"/>
        <v>3</v>
      </c>
      <c r="I36" s="11">
        <f>SUMIF('Все сезоны'!$B$2:$B$124,A36,'Все сезоны'!$G$2:$G$124)</f>
        <v>0</v>
      </c>
    </row>
    <row r="37" spans="1:9" ht="21" customHeight="1">
      <c r="A37" s="8" t="s">
        <v>71</v>
      </c>
      <c r="B37" s="9">
        <f>COUNTIF('Все сезоны'!$B$2:$B$124,A37)</f>
        <v>1</v>
      </c>
      <c r="C37" s="10" t="s">
        <v>64</v>
      </c>
      <c r="D37" s="10" t="s">
        <v>64</v>
      </c>
      <c r="E37" s="9">
        <f>SUMIF('Все сезоны'!$B$2:$B$124,A37,'Все сезоны'!$D$2:$D$124)</f>
        <v>17</v>
      </c>
      <c r="F37" s="9">
        <f>SUMIF('Все сезоны'!$B$2:$B$124,A37,'Все сезоны'!$E$2:$E$124)</f>
        <v>2</v>
      </c>
      <c r="G37" s="9">
        <f>SUMIF('Все сезоны'!$B$2:$B$124,A37,'Все сезоны'!$F$2:$F$124)</f>
        <v>3</v>
      </c>
      <c r="H37" s="9">
        <f t="shared" ref="H37:H68" si="1">F37+G37</f>
        <v>5</v>
      </c>
      <c r="I37" s="11">
        <f>SUMIF('Все сезоны'!$B$2:$B$124,A37,'Все сезоны'!$G$2:$G$124)</f>
        <v>3</v>
      </c>
    </row>
    <row r="38" spans="1:9" ht="21" customHeight="1">
      <c r="A38" s="8" t="s">
        <v>24</v>
      </c>
      <c r="B38" s="9">
        <f>COUNTIF('Все сезоны'!$B$2:$B$124,A38)</f>
        <v>1</v>
      </c>
      <c r="C38" s="10" t="s">
        <v>8</v>
      </c>
      <c r="D38" s="10" t="s">
        <v>8</v>
      </c>
      <c r="E38" s="9">
        <f>SUMIF('Все сезоны'!$B$2:$B$124,A38,'Все сезоны'!$D$2:$D$124)</f>
        <v>10</v>
      </c>
      <c r="F38" s="9">
        <f>SUMIF('Все сезоны'!$B$2:$B$124,A38,'Все сезоны'!$E$2:$E$124)</f>
        <v>2</v>
      </c>
      <c r="G38" s="9">
        <f>SUMIF('Все сезоны'!$B$2:$B$124,A38,'Все сезоны'!$F$2:$F$124)</f>
        <v>0</v>
      </c>
      <c r="H38" s="9">
        <f t="shared" si="1"/>
        <v>2</v>
      </c>
      <c r="I38" s="11">
        <f>SUMIF('Все сезоны'!$B$2:$B$124,A38,'Все сезоны'!$G$2:$G$124)</f>
        <v>0</v>
      </c>
    </row>
    <row r="39" spans="1:9" ht="21" customHeight="1">
      <c r="A39" s="8" t="s">
        <v>76</v>
      </c>
      <c r="B39" s="9">
        <f>COUNTIF('Все сезоны'!$B$2:$B$124,A39)</f>
        <v>1</v>
      </c>
      <c r="C39" s="10" t="s">
        <v>64</v>
      </c>
      <c r="D39" s="10" t="s">
        <v>64</v>
      </c>
      <c r="E39" s="9">
        <f>SUMIF('Все сезоны'!$B$2:$B$124,A39,'Все сезоны'!$D$2:$D$124)</f>
        <v>58</v>
      </c>
      <c r="F39" s="9">
        <f>SUMIF('Все сезоны'!$B$2:$B$124,A39,'Все сезоны'!$E$2:$E$124)</f>
        <v>1</v>
      </c>
      <c r="G39" s="9">
        <f>SUMIF('Все сезоны'!$B$2:$B$124,A39,'Все сезоны'!$F$2:$F$124)</f>
        <v>2</v>
      </c>
      <c r="H39" s="9">
        <f t="shared" si="1"/>
        <v>3</v>
      </c>
      <c r="I39" s="11">
        <f>SUMIF('Все сезоны'!$B$2:$B$124,A39,'Все сезоны'!$G$2:$G$124)</f>
        <v>10</v>
      </c>
    </row>
    <row r="40" spans="1:9" ht="21" customHeight="1">
      <c r="A40" s="8" t="s">
        <v>96</v>
      </c>
      <c r="B40" s="9">
        <f>COUNTIF('Все сезоны'!$B$2:$B$124,A40)</f>
        <v>1</v>
      </c>
      <c r="C40" s="10" t="s">
        <v>90</v>
      </c>
      <c r="D40" s="10" t="s">
        <v>90</v>
      </c>
      <c r="E40" s="9">
        <f>SUMIF('Все сезоны'!$B$2:$B$124,A40,'Все сезоны'!$D$2:$D$124)</f>
        <v>48</v>
      </c>
      <c r="F40" s="9">
        <f>SUMIF('Все сезоны'!$B$2:$B$124,A40,'Все сезоны'!$E$2:$E$124)</f>
        <v>1</v>
      </c>
      <c r="G40" s="9">
        <f>SUMIF('Все сезоны'!$B$2:$B$124,A40,'Все сезоны'!$F$2:$F$124)</f>
        <v>3</v>
      </c>
      <c r="H40" s="9">
        <f t="shared" si="1"/>
        <v>4</v>
      </c>
      <c r="I40" s="11">
        <f>SUMIF('Все сезоны'!$B$2:$B$124,A40,'Все сезоны'!$G$2:$G$124)</f>
        <v>6</v>
      </c>
    </row>
    <row r="41" spans="1:9" ht="21" customHeight="1">
      <c r="A41" s="8" t="s">
        <v>74</v>
      </c>
      <c r="B41" s="9">
        <f>COUNTIF('Все сезоны'!$B$2:$B$124,A41)</f>
        <v>1</v>
      </c>
      <c r="C41" s="10" t="s">
        <v>64</v>
      </c>
      <c r="D41" s="10" t="s">
        <v>64</v>
      </c>
      <c r="E41" s="9">
        <f>SUMIF('Все сезоны'!$B$2:$B$124,A41,'Все сезоны'!$D$2:$D$124)</f>
        <v>40</v>
      </c>
      <c r="F41" s="9">
        <f>SUMIF('Все сезоны'!$B$2:$B$124,A41,'Все сезоны'!$E$2:$E$124)</f>
        <v>1</v>
      </c>
      <c r="G41" s="9">
        <f>SUMIF('Все сезоны'!$B$2:$B$124,A41,'Все сезоны'!$F$2:$F$124)</f>
        <v>6</v>
      </c>
      <c r="H41" s="9">
        <f t="shared" si="1"/>
        <v>7</v>
      </c>
      <c r="I41" s="11">
        <f>SUMIF('Все сезоны'!$B$2:$B$124,A41,'Все сезоны'!$G$2:$G$124)</f>
        <v>3</v>
      </c>
    </row>
    <row r="42" spans="1:9" ht="21" customHeight="1">
      <c r="A42" s="8" t="s">
        <v>97</v>
      </c>
      <c r="B42" s="9">
        <f>COUNTIF('Все сезоны'!$B$2:$B$124,A42)</f>
        <v>1</v>
      </c>
      <c r="C42" s="10" t="s">
        <v>90</v>
      </c>
      <c r="D42" s="10" t="s">
        <v>90</v>
      </c>
      <c r="E42" s="9">
        <f>SUMIF('Все сезоны'!$B$2:$B$124,A42,'Все сезоны'!$D$2:$D$124)</f>
        <v>33</v>
      </c>
      <c r="F42" s="9">
        <f>SUMIF('Все сезоны'!$B$2:$B$124,A42,'Все сезоны'!$E$2:$E$124)</f>
        <v>1</v>
      </c>
      <c r="G42" s="9">
        <f>SUMIF('Все сезоны'!$B$2:$B$124,A42,'Все сезоны'!$F$2:$F$124)</f>
        <v>4</v>
      </c>
      <c r="H42" s="9">
        <f t="shared" si="1"/>
        <v>5</v>
      </c>
      <c r="I42" s="11">
        <f>SUMIF('Все сезоны'!$B$2:$B$124,A42,'Все сезоны'!$G$2:$G$124)</f>
        <v>0</v>
      </c>
    </row>
    <row r="43" spans="1:9" ht="21" customHeight="1">
      <c r="A43" s="8" t="s">
        <v>73</v>
      </c>
      <c r="B43" s="9">
        <f>COUNTIF('Все сезоны'!$B$2:$B$124,A43)</f>
        <v>2</v>
      </c>
      <c r="C43" s="10" t="s">
        <v>64</v>
      </c>
      <c r="D43" s="10" t="s">
        <v>90</v>
      </c>
      <c r="E43" s="9">
        <f>SUMIF('Все сезоны'!$B$2:$B$124,A43,'Все сезоны'!$D$2:$D$124)</f>
        <v>29</v>
      </c>
      <c r="F43" s="9">
        <f>SUMIF('Все сезоны'!$B$2:$B$124,A43,'Все сезоны'!$E$2:$E$124)</f>
        <v>1</v>
      </c>
      <c r="G43" s="9">
        <f>SUMIF('Все сезоны'!$B$2:$B$124,A43,'Все сезоны'!$F$2:$F$124)</f>
        <v>2</v>
      </c>
      <c r="H43" s="9">
        <f t="shared" si="1"/>
        <v>3</v>
      </c>
      <c r="I43" s="11">
        <f>SUMIF('Все сезоны'!$B$2:$B$124,A43,'Все сезоны'!$G$2:$G$124)</f>
        <v>1</v>
      </c>
    </row>
    <row r="44" spans="1:9" ht="21" customHeight="1">
      <c r="A44" s="8" t="s">
        <v>33</v>
      </c>
      <c r="B44" s="9">
        <f>COUNTIF('Все сезоны'!$B$2:$B$124,A44)</f>
        <v>2</v>
      </c>
      <c r="C44" s="10" t="s">
        <v>25</v>
      </c>
      <c r="D44" s="10" t="s">
        <v>43</v>
      </c>
      <c r="E44" s="9">
        <f>SUMIF('Все сезоны'!$B$2:$B$124,A44,'Все сезоны'!$D$2:$D$124)</f>
        <v>27</v>
      </c>
      <c r="F44" s="9">
        <f>SUMIF('Все сезоны'!$B$2:$B$124,A44,'Все сезоны'!$E$2:$E$124)</f>
        <v>1</v>
      </c>
      <c r="G44" s="9">
        <f>SUMIF('Все сезоны'!$B$2:$B$124,A44,'Все сезоны'!$F$2:$F$124)</f>
        <v>1</v>
      </c>
      <c r="H44" s="9">
        <f t="shared" si="1"/>
        <v>2</v>
      </c>
      <c r="I44" s="11">
        <f>SUMIF('Все сезоны'!$B$2:$B$124,A44,'Все сезоны'!$G$2:$G$124)</f>
        <v>1</v>
      </c>
    </row>
    <row r="45" spans="1:9" ht="21" customHeight="1">
      <c r="A45" s="8" t="s">
        <v>34</v>
      </c>
      <c r="B45" s="9">
        <f>COUNTIF('Все сезоны'!$B$2:$B$124,A45)</f>
        <v>1</v>
      </c>
      <c r="C45" s="10" t="s">
        <v>25</v>
      </c>
      <c r="D45" s="10" t="s">
        <v>25</v>
      </c>
      <c r="E45" s="9">
        <f>SUMIF('Все сезоны'!$B$2:$B$124,A45,'Все сезоны'!$D$2:$D$124)</f>
        <v>26</v>
      </c>
      <c r="F45" s="9">
        <f>SUMIF('Все сезоны'!$B$2:$B$124,A45,'Все сезоны'!$E$2:$E$124)</f>
        <v>1</v>
      </c>
      <c r="G45" s="9">
        <f>SUMIF('Все сезоны'!$B$2:$B$124,A45,'Все сезоны'!$F$2:$F$124)</f>
        <v>1</v>
      </c>
      <c r="H45" s="9">
        <f t="shared" si="1"/>
        <v>2</v>
      </c>
      <c r="I45" s="11">
        <f>SUMIF('Все сезоны'!$B$2:$B$124,A45,'Все сезоны'!$G$2:$G$124)</f>
        <v>5</v>
      </c>
    </row>
    <row r="46" spans="1:9" ht="21" customHeight="1">
      <c r="A46" s="8" t="s">
        <v>72</v>
      </c>
      <c r="B46" s="9">
        <f>COUNTIF('Все сезоны'!$B$2:$B$124,A46)</f>
        <v>1</v>
      </c>
      <c r="C46" s="10" t="s">
        <v>64</v>
      </c>
      <c r="D46" s="10" t="s">
        <v>64</v>
      </c>
      <c r="E46" s="9">
        <f>SUMIF('Все сезоны'!$B$2:$B$124,A46,'Все сезоны'!$D$2:$D$124)</f>
        <v>23</v>
      </c>
      <c r="F46" s="9">
        <f>SUMIF('Все сезоны'!$B$2:$B$124,A46,'Все сезоны'!$E$2:$E$124)</f>
        <v>1</v>
      </c>
      <c r="G46" s="9">
        <f>SUMIF('Все сезоны'!$B$2:$B$124,A46,'Все сезоны'!$F$2:$F$124)</f>
        <v>3</v>
      </c>
      <c r="H46" s="9">
        <f t="shared" si="1"/>
        <v>4</v>
      </c>
      <c r="I46" s="11">
        <f>SUMIF('Все сезоны'!$B$2:$B$124,A46,'Все сезоны'!$G$2:$G$124)</f>
        <v>0</v>
      </c>
    </row>
    <row r="47" spans="1:9" ht="21" customHeight="1">
      <c r="A47" s="8" t="s">
        <v>75</v>
      </c>
      <c r="B47" s="9">
        <f>COUNTIF('Все сезоны'!$B$2:$B$124,A47)</f>
        <v>1</v>
      </c>
      <c r="C47" s="10" t="s">
        <v>64</v>
      </c>
      <c r="D47" s="10" t="s">
        <v>64</v>
      </c>
      <c r="E47" s="9">
        <f>SUMIF('Все сезоны'!$B$2:$B$124,A47,'Все сезоны'!$D$2:$D$124)</f>
        <v>21</v>
      </c>
      <c r="F47" s="9">
        <f>SUMIF('Все сезоны'!$B$2:$B$124,A47,'Все сезоны'!$E$2:$E$124)</f>
        <v>1</v>
      </c>
      <c r="G47" s="9">
        <f>SUMIF('Все сезоны'!$B$2:$B$124,A47,'Все сезоны'!$F$2:$F$124)</f>
        <v>0</v>
      </c>
      <c r="H47" s="9">
        <f t="shared" si="1"/>
        <v>1</v>
      </c>
      <c r="I47" s="11">
        <f>SUMIF('Все сезоны'!$B$2:$B$124,A47,'Все сезоны'!$G$2:$G$124)</f>
        <v>0</v>
      </c>
    </row>
    <row r="48" spans="1:9" ht="21" customHeight="1">
      <c r="A48" s="8" t="s">
        <v>51</v>
      </c>
      <c r="B48" s="9">
        <f>COUNTIF('Все сезоны'!$B$2:$B$124,A48)</f>
        <v>1</v>
      </c>
      <c r="C48" s="10" t="s">
        <v>43</v>
      </c>
      <c r="D48" s="10" t="s">
        <v>43</v>
      </c>
      <c r="E48" s="9">
        <f>SUMIF('Все сезоны'!$B$2:$B$124,A48,'Все сезоны'!$D$2:$D$124)</f>
        <v>9</v>
      </c>
      <c r="F48" s="9">
        <f>SUMIF('Все сезоны'!$B$2:$B$124,A48,'Все сезоны'!$E$2:$E$124)</f>
        <v>1</v>
      </c>
      <c r="G48" s="9">
        <f>SUMIF('Все сезоны'!$B$2:$B$124,A48,'Все сезоны'!$F$2:$F$124)</f>
        <v>1</v>
      </c>
      <c r="H48" s="9">
        <f t="shared" si="1"/>
        <v>2</v>
      </c>
      <c r="I48" s="11">
        <f>SUMIF('Все сезоны'!$B$2:$B$124,A48,'Все сезоны'!$G$2:$G$124)</f>
        <v>0</v>
      </c>
    </row>
    <row r="49" spans="1:9" ht="21" customHeight="1">
      <c r="A49" s="8" t="s">
        <v>32</v>
      </c>
      <c r="B49" s="9">
        <f>COUNTIF('Все сезоны'!$B$2:$B$124,A49)</f>
        <v>1</v>
      </c>
      <c r="C49" s="10" t="s">
        <v>25</v>
      </c>
      <c r="D49" s="10" t="s">
        <v>25</v>
      </c>
      <c r="E49" s="9">
        <f>SUMIF('Все сезоны'!$B$2:$B$124,A49,'Все сезоны'!$D$2:$D$124)</f>
        <v>8</v>
      </c>
      <c r="F49" s="9">
        <f>SUMIF('Все сезоны'!$B$2:$B$124,A49,'Все сезоны'!$E$2:$E$124)</f>
        <v>1</v>
      </c>
      <c r="G49" s="9">
        <f>SUMIF('Все сезоны'!$B$2:$B$124,A49,'Все сезоны'!$F$2:$F$124)</f>
        <v>1</v>
      </c>
      <c r="H49" s="9">
        <f t="shared" si="1"/>
        <v>2</v>
      </c>
      <c r="I49" s="11">
        <f>SUMIF('Все сезоны'!$B$2:$B$124,A49,'Все сезоны'!$G$2:$G$124)</f>
        <v>0</v>
      </c>
    </row>
    <row r="50" spans="1:9" ht="21" customHeight="1">
      <c r="A50" s="8" t="s">
        <v>87</v>
      </c>
      <c r="B50" s="9">
        <f>COUNTIF('Все сезоны'!$B$2:$B$124,A50)</f>
        <v>2</v>
      </c>
      <c r="C50" s="10" t="s">
        <v>64</v>
      </c>
      <c r="D50" s="10" t="s">
        <v>90</v>
      </c>
      <c r="E50" s="9">
        <f>SUMIF('Все сезоны'!$B$2:$B$124,A50,'Все сезоны'!$D$2:$D$124)</f>
        <v>104</v>
      </c>
      <c r="F50" s="9">
        <f>SUMIF('Все сезоны'!$B$2:$B$124,A50,'Все сезоны'!$E$2:$E$124)</f>
        <v>0</v>
      </c>
      <c r="G50" s="9">
        <f>SUMIF('Все сезоны'!$B$2:$B$124,A50,'Все сезоны'!$F$2:$F$124)</f>
        <v>3</v>
      </c>
      <c r="H50" s="9">
        <f t="shared" si="1"/>
        <v>3</v>
      </c>
      <c r="I50" s="11">
        <f>SUMIF('Все сезоны'!$B$2:$B$124,A50,'Все сезоны'!$G$2:$G$124)</f>
        <v>13</v>
      </c>
    </row>
    <row r="51" spans="1:9" ht="21" customHeight="1">
      <c r="A51" s="8" t="s">
        <v>89</v>
      </c>
      <c r="B51" s="9">
        <f>COUNTIF('Все сезоны'!$B$2:$B$124,A51)</f>
        <v>1</v>
      </c>
      <c r="C51" s="10" t="s">
        <v>64</v>
      </c>
      <c r="D51" s="10" t="s">
        <v>64</v>
      </c>
      <c r="E51" s="9">
        <f>SUMIF('Все сезоны'!$B$2:$B$124,A51,'Все сезоны'!$D$2:$D$124)</f>
        <v>54</v>
      </c>
      <c r="F51" s="9">
        <f>SUMIF('Все сезоны'!$B$2:$B$124,A51,'Все сезоны'!$E$2:$E$124)</f>
        <v>0</v>
      </c>
      <c r="G51" s="9">
        <f>SUMIF('Все сезоны'!$B$2:$B$124,A51,'Все сезоны'!$F$2:$F$124)</f>
        <v>1</v>
      </c>
      <c r="H51" s="9">
        <f t="shared" si="1"/>
        <v>1</v>
      </c>
      <c r="I51" s="11">
        <f>SUMIF('Все сезоны'!$B$2:$B$124,A51,'Все сезоны'!$G$2:$G$124)</f>
        <v>8</v>
      </c>
    </row>
    <row r="52" spans="1:9" ht="21" customHeight="1">
      <c r="A52" s="8" t="s">
        <v>62</v>
      </c>
      <c r="B52" s="9">
        <f>COUNTIF('Все сезоны'!$B$2:$B$124,A52)</f>
        <v>1</v>
      </c>
      <c r="C52" s="10" t="s">
        <v>43</v>
      </c>
      <c r="D52" s="10" t="s">
        <v>43</v>
      </c>
      <c r="E52" s="9">
        <f>SUMIF('Все сезоны'!$B$2:$B$124,A52,'Все сезоны'!$D$2:$D$124)</f>
        <v>48</v>
      </c>
      <c r="F52" s="9">
        <f>SUMIF('Все сезоны'!$B$2:$B$124,A52,'Все сезоны'!$E$2:$E$124)</f>
        <v>0</v>
      </c>
      <c r="G52" s="9">
        <f>SUMIF('Все сезоны'!$B$2:$B$124,A52,'Все сезоны'!$F$2:$F$124)</f>
        <v>5</v>
      </c>
      <c r="H52" s="9">
        <f t="shared" si="1"/>
        <v>5</v>
      </c>
      <c r="I52" s="11">
        <f>SUMIF('Все сезоны'!$B$2:$B$124,A52,'Все сезоны'!$G$2:$G$124)</f>
        <v>6</v>
      </c>
    </row>
    <row r="53" spans="1:9" ht="21" customHeight="1">
      <c r="A53" s="8" t="s">
        <v>63</v>
      </c>
      <c r="B53" s="9">
        <f>COUNTIF('Все сезоны'!$B$2:$B$124,A53)</f>
        <v>1</v>
      </c>
      <c r="C53" s="10" t="s">
        <v>43</v>
      </c>
      <c r="D53" s="10" t="s">
        <v>43</v>
      </c>
      <c r="E53" s="9">
        <f>SUMIF('Все сезоны'!$B$2:$B$124,A53,'Все сезоны'!$D$2:$D$124)</f>
        <v>48</v>
      </c>
      <c r="F53" s="9">
        <f>SUMIF('Все сезоны'!$B$2:$B$124,A53,'Все сезоны'!$E$2:$E$124)</f>
        <v>0</v>
      </c>
      <c r="G53" s="9">
        <f>SUMIF('Все сезоны'!$B$2:$B$124,A53,'Все сезоны'!$F$2:$F$124)</f>
        <v>0</v>
      </c>
      <c r="H53" s="9">
        <f t="shared" si="1"/>
        <v>0</v>
      </c>
      <c r="I53" s="11">
        <f>SUMIF('Все сезоны'!$B$2:$B$124,A53,'Все сезоны'!$G$2:$G$124)</f>
        <v>5</v>
      </c>
    </row>
    <row r="54" spans="1:9" ht="21" customHeight="1">
      <c r="A54" s="8" t="s">
        <v>61</v>
      </c>
      <c r="B54" s="9">
        <f>COUNTIF('Все сезоны'!$B$2:$B$124,A54)</f>
        <v>1</v>
      </c>
      <c r="C54" s="10" t="s">
        <v>43</v>
      </c>
      <c r="D54" s="10" t="s">
        <v>43</v>
      </c>
      <c r="E54" s="9">
        <f>SUMIF('Все сезоны'!$B$2:$B$124,A54,'Все сезоны'!$D$2:$D$124)</f>
        <v>47</v>
      </c>
      <c r="F54" s="9">
        <f>SUMIF('Все сезоны'!$B$2:$B$124,A54,'Все сезоны'!$E$2:$E$124)</f>
        <v>0</v>
      </c>
      <c r="G54" s="9">
        <f>SUMIF('Все сезоны'!$B$2:$B$124,A54,'Все сезоны'!$F$2:$F$124)</f>
        <v>3</v>
      </c>
      <c r="H54" s="9">
        <f t="shared" si="1"/>
        <v>3</v>
      </c>
      <c r="I54" s="11">
        <f>SUMIF('Все сезоны'!$B$2:$B$124,A54,'Все сезоны'!$G$2:$G$124)</f>
        <v>7</v>
      </c>
    </row>
    <row r="55" spans="1:9" ht="21" customHeight="1">
      <c r="A55" s="8" t="s">
        <v>104</v>
      </c>
      <c r="B55" s="9">
        <f>COUNTIF('Все сезоны'!$B$2:$B$124,A55)</f>
        <v>1</v>
      </c>
      <c r="C55" s="10" t="s">
        <v>90</v>
      </c>
      <c r="D55" s="10" t="s">
        <v>90</v>
      </c>
      <c r="E55" s="9">
        <f>SUMIF('Все сезоны'!$B$2:$B$124,A55,'Все сезоны'!$D$2:$D$124)</f>
        <v>46</v>
      </c>
      <c r="F55" s="9">
        <f>SUMIF('Все сезоны'!$B$2:$B$124,A55,'Все сезоны'!$E$2:$E$124)</f>
        <v>0</v>
      </c>
      <c r="G55" s="9">
        <f>SUMIF('Все сезоны'!$B$2:$B$124,A55,'Все сезоны'!$F$2:$F$124)</f>
        <v>0</v>
      </c>
      <c r="H55" s="9">
        <f t="shared" si="1"/>
        <v>0</v>
      </c>
      <c r="I55" s="11">
        <f>SUMIF('Все сезоны'!$B$2:$B$124,A55,'Все сезоны'!$G$2:$G$124)</f>
        <v>5</v>
      </c>
    </row>
    <row r="56" spans="1:9" ht="21" customHeight="1">
      <c r="A56" s="8" t="s">
        <v>88</v>
      </c>
      <c r="B56" s="9">
        <f>COUNTIF('Все сезоны'!$B$2:$B$124,A56)</f>
        <v>2</v>
      </c>
      <c r="C56" s="10" t="s">
        <v>64</v>
      </c>
      <c r="D56" s="10" t="s">
        <v>90</v>
      </c>
      <c r="E56" s="9">
        <f>SUMIF('Все сезоны'!$B$2:$B$124,A56,'Все сезоны'!$D$2:$D$124)</f>
        <v>41</v>
      </c>
      <c r="F56" s="9">
        <f>SUMIF('Все сезоны'!$B$2:$B$124,A56,'Все сезоны'!$E$2:$E$124)</f>
        <v>0</v>
      </c>
      <c r="G56" s="9">
        <f>SUMIF('Все сезоны'!$B$2:$B$124,A56,'Все сезоны'!$F$2:$F$124)</f>
        <v>0</v>
      </c>
      <c r="H56" s="9">
        <f t="shared" si="1"/>
        <v>0</v>
      </c>
      <c r="I56" s="11">
        <f>SUMIF('Все сезоны'!$B$2:$B$124,A56,'Все сезоны'!$G$2:$G$124)</f>
        <v>4</v>
      </c>
    </row>
    <row r="57" spans="1:9" ht="21" customHeight="1">
      <c r="A57" s="8" t="s">
        <v>86</v>
      </c>
      <c r="B57" s="9">
        <f>COUNTIF('Все сезоны'!$B$2:$B$124,A57)</f>
        <v>2</v>
      </c>
      <c r="C57" s="10" t="s">
        <v>64</v>
      </c>
      <c r="D57" s="10" t="s">
        <v>90</v>
      </c>
      <c r="E57" s="9">
        <f>SUMIF('Все сезоны'!$B$2:$B$124,A57,'Все сезоны'!$D$2:$D$124)</f>
        <v>34</v>
      </c>
      <c r="F57" s="9">
        <f>SUMIF('Все сезоны'!$B$2:$B$124,A57,'Все сезоны'!$E$2:$E$124)</f>
        <v>0</v>
      </c>
      <c r="G57" s="9">
        <f>SUMIF('Все сезоны'!$B$2:$B$124,A57,'Все сезоны'!$F$2:$F$124)</f>
        <v>0</v>
      </c>
      <c r="H57" s="9">
        <f t="shared" si="1"/>
        <v>0</v>
      </c>
      <c r="I57" s="11">
        <f>SUMIF('Все сезоны'!$B$2:$B$124,A57,'Все сезоны'!$G$2:$G$124)</f>
        <v>3</v>
      </c>
    </row>
    <row r="58" spans="1:9" ht="21" customHeight="1">
      <c r="A58" s="8" t="s">
        <v>102</v>
      </c>
      <c r="B58" s="9">
        <f>COUNTIF('Все сезоны'!$B$2:$B$124,A58)</f>
        <v>1</v>
      </c>
      <c r="C58" s="10" t="s">
        <v>90</v>
      </c>
      <c r="D58" s="10" t="s">
        <v>90</v>
      </c>
      <c r="E58" s="9">
        <f>SUMIF('Все сезоны'!$B$2:$B$124,A58,'Все сезоны'!$D$2:$D$124)</f>
        <v>23</v>
      </c>
      <c r="F58" s="9">
        <f>SUMIF('Все сезоны'!$B$2:$B$124,A58,'Все сезоны'!$E$2:$E$124)</f>
        <v>0</v>
      </c>
      <c r="G58" s="9">
        <f>SUMIF('Все сезоны'!$B$2:$B$124,A58,'Все сезоны'!$F$2:$F$124)</f>
        <v>1</v>
      </c>
      <c r="H58" s="9">
        <f t="shared" si="1"/>
        <v>1</v>
      </c>
      <c r="I58" s="11">
        <f>SUMIF('Все сезоны'!$B$2:$B$124,A58,'Все сезоны'!$G$2:$G$124)</f>
        <v>0</v>
      </c>
    </row>
    <row r="59" spans="1:9" ht="21" customHeight="1">
      <c r="A59" s="8" t="s">
        <v>79</v>
      </c>
      <c r="B59" s="9">
        <f>COUNTIF('Все сезоны'!$B$2:$B$124,A59)</f>
        <v>1</v>
      </c>
      <c r="C59" s="10" t="s">
        <v>64</v>
      </c>
      <c r="D59" s="10" t="s">
        <v>64</v>
      </c>
      <c r="E59" s="9">
        <f>SUMIF('Все сезоны'!$B$2:$B$124,A59,'Все сезоны'!$D$2:$D$124)</f>
        <v>19</v>
      </c>
      <c r="F59" s="9">
        <f>SUMIF('Все сезоны'!$B$2:$B$124,A59,'Все сезоны'!$E$2:$E$124)</f>
        <v>0</v>
      </c>
      <c r="G59" s="9">
        <f>SUMIF('Все сезоны'!$B$2:$B$124,A59,'Все сезоны'!$F$2:$F$124)</f>
        <v>6</v>
      </c>
      <c r="H59" s="9">
        <f t="shared" si="1"/>
        <v>6</v>
      </c>
      <c r="I59" s="11">
        <f>SUMIF('Все сезоны'!$B$2:$B$124,A59,'Все сезоны'!$G$2:$G$124)</f>
        <v>3</v>
      </c>
    </row>
    <row r="60" spans="1:9" ht="21" customHeight="1">
      <c r="A60" s="8" t="s">
        <v>80</v>
      </c>
      <c r="B60" s="9">
        <f>COUNTIF('Все сезоны'!$B$2:$B$124,A60)</f>
        <v>1</v>
      </c>
      <c r="C60" s="10" t="s">
        <v>64</v>
      </c>
      <c r="D60" s="10" t="s">
        <v>64</v>
      </c>
      <c r="E60" s="9">
        <f>SUMIF('Все сезоны'!$B$2:$B$124,A60,'Все сезоны'!$D$2:$D$124)</f>
        <v>14</v>
      </c>
      <c r="F60" s="9">
        <f>SUMIF('Все сезоны'!$B$2:$B$124,A60,'Все сезоны'!$E$2:$E$124)</f>
        <v>0</v>
      </c>
      <c r="G60" s="9">
        <f>SUMIF('Все сезоны'!$B$2:$B$124,A60,'Все сезоны'!$F$2:$F$124)</f>
        <v>1</v>
      </c>
      <c r="H60" s="9">
        <f t="shared" si="1"/>
        <v>1</v>
      </c>
      <c r="I60" s="11">
        <f>SUMIF('Все сезоны'!$B$2:$B$124,A60,'Все сезоны'!$G$2:$G$124)</f>
        <v>1</v>
      </c>
    </row>
    <row r="61" spans="1:9" ht="21" customHeight="1">
      <c r="A61" s="8" t="s">
        <v>103</v>
      </c>
      <c r="B61" s="9">
        <f>COUNTIF('Все сезоны'!$B$2:$B$124,A61)</f>
        <v>1</v>
      </c>
      <c r="C61" s="10" t="s">
        <v>90</v>
      </c>
      <c r="D61" s="10" t="s">
        <v>90</v>
      </c>
      <c r="E61" s="9">
        <f>SUMIF('Все сезоны'!$B$2:$B$124,A61,'Все сезоны'!$D$2:$D$124)</f>
        <v>13</v>
      </c>
      <c r="F61" s="9">
        <f>SUMIF('Все сезоны'!$B$2:$B$124,A61,'Все сезоны'!$E$2:$E$124)</f>
        <v>0</v>
      </c>
      <c r="G61" s="9">
        <f>SUMIF('Все сезоны'!$B$2:$B$124,A61,'Все сезоны'!$F$2:$F$124)</f>
        <v>0</v>
      </c>
      <c r="H61" s="9">
        <f t="shared" si="1"/>
        <v>0</v>
      </c>
      <c r="I61" s="11">
        <f>SUMIF('Все сезоны'!$B$2:$B$124,A61,'Все сезоны'!$G$2:$G$124)</f>
        <v>0</v>
      </c>
    </row>
    <row r="62" spans="1:9" ht="21" customHeight="1">
      <c r="A62" s="8" t="s">
        <v>42</v>
      </c>
      <c r="B62" s="9">
        <f>COUNTIF('Все сезоны'!$B$2:$B$124,A62)</f>
        <v>1</v>
      </c>
      <c r="C62" s="10" t="s">
        <v>25</v>
      </c>
      <c r="D62" s="10" t="s">
        <v>25</v>
      </c>
      <c r="E62" s="9">
        <f>SUMIF('Все сезоны'!$B$2:$B$124,A62,'Все сезоны'!$D$2:$D$124)</f>
        <v>11</v>
      </c>
      <c r="F62" s="9">
        <f>SUMIF('Все сезоны'!$B$2:$B$124,A62,'Все сезоны'!$E$2:$E$124)</f>
        <v>0</v>
      </c>
      <c r="G62" s="9">
        <f>SUMIF('Все сезоны'!$B$2:$B$124,A62,'Все сезоны'!$F$2:$F$124)</f>
        <v>0</v>
      </c>
      <c r="H62" s="9">
        <f t="shared" si="1"/>
        <v>0</v>
      </c>
      <c r="I62" s="11">
        <f>SUMIF('Все сезоны'!$B$2:$B$124,A62,'Все сезоны'!$G$2:$G$124)</f>
        <v>1</v>
      </c>
    </row>
    <row r="63" spans="1:9" ht="21" customHeight="1">
      <c r="A63" s="8" t="s">
        <v>60</v>
      </c>
      <c r="B63" s="9">
        <f>COUNTIF('Все сезоны'!$B$2:$B$124,A63)</f>
        <v>2</v>
      </c>
      <c r="C63" s="10" t="s">
        <v>43</v>
      </c>
      <c r="D63" s="10" t="s">
        <v>64</v>
      </c>
      <c r="E63" s="9">
        <f>SUMIF('Все сезоны'!$B$2:$B$124,A63,'Все сезоны'!$D$2:$D$124)</f>
        <v>6</v>
      </c>
      <c r="F63" s="9">
        <f>SUMIF('Все сезоны'!$B$2:$B$124,A63,'Все сезоны'!$E$2:$E$124)</f>
        <v>0</v>
      </c>
      <c r="G63" s="9">
        <f>SUMIF('Все сезоны'!$B$2:$B$124,A63,'Все сезоны'!$F$2:$F$124)</f>
        <v>0</v>
      </c>
      <c r="H63" s="9">
        <f t="shared" si="1"/>
        <v>0</v>
      </c>
      <c r="I63" s="11">
        <f>SUMIF('Все сезоны'!$B$2:$B$124,A63,'Все сезоны'!$G$2:$G$124)</f>
        <v>0</v>
      </c>
    </row>
    <row r="64" spans="1:9" ht="21" customHeight="1">
      <c r="A64" s="8" t="s">
        <v>85</v>
      </c>
      <c r="B64" s="9">
        <f>COUNTIF('Все сезоны'!$B$2:$B$124,A64)</f>
        <v>2</v>
      </c>
      <c r="C64" s="10" t="s">
        <v>64</v>
      </c>
      <c r="D64" s="10" t="s">
        <v>90</v>
      </c>
      <c r="E64" s="9">
        <f>SUMIF('Все сезоны'!$B$2:$B$124,A64,'Все сезоны'!$D$2:$D$124)</f>
        <v>4</v>
      </c>
      <c r="F64" s="9">
        <f>SUMIF('Все сезоны'!$B$2:$B$124,A64,'Все сезоны'!$E$2:$E$124)</f>
        <v>0</v>
      </c>
      <c r="G64" s="9">
        <f>SUMIF('Все сезоны'!$B$2:$B$124,A64,'Все сезоны'!$F$2:$F$124)</f>
        <v>0</v>
      </c>
      <c r="H64" s="9">
        <f t="shared" si="1"/>
        <v>0</v>
      </c>
      <c r="I64" s="11">
        <f>SUMIF('Все сезоны'!$B$2:$B$124,A64,'Все сезоны'!$G$2:$G$124)</f>
        <v>0</v>
      </c>
    </row>
    <row r="65" spans="1:9" ht="21" customHeight="1">
      <c r="A65" s="8" t="s">
        <v>101</v>
      </c>
      <c r="B65" s="9">
        <f>COUNTIF('Все сезоны'!$B$2:$B$124,A65)</f>
        <v>1</v>
      </c>
      <c r="C65" s="10" t="s">
        <v>90</v>
      </c>
      <c r="D65" s="10" t="s">
        <v>90</v>
      </c>
      <c r="E65" s="9">
        <f>SUMIF('Все сезоны'!$B$2:$B$124,A65,'Все сезоны'!$D$2:$D$124)</f>
        <v>3</v>
      </c>
      <c r="F65" s="9">
        <f>SUMIF('Все сезоны'!$B$2:$B$124,A65,'Все сезоны'!$E$2:$E$124)</f>
        <v>0</v>
      </c>
      <c r="G65" s="9">
        <f>SUMIF('Все сезоны'!$B$2:$B$124,A65,'Все сезоны'!$F$2:$F$124)</f>
        <v>2</v>
      </c>
      <c r="H65" s="9">
        <f t="shared" si="1"/>
        <v>2</v>
      </c>
      <c r="I65" s="11">
        <f>SUMIF('Все сезоны'!$B$2:$B$124,A65,'Все сезоны'!$G$2:$G$124)</f>
        <v>0</v>
      </c>
    </row>
    <row r="66" spans="1:9" ht="21" customHeight="1">
      <c r="A66" s="8" t="s">
        <v>78</v>
      </c>
      <c r="B66" s="9">
        <f>COUNTIF('Все сезоны'!$B$2:$B$124,A66)</f>
        <v>1</v>
      </c>
      <c r="C66" s="10" t="s">
        <v>64</v>
      </c>
      <c r="D66" s="10" t="s">
        <v>64</v>
      </c>
      <c r="E66" s="9">
        <f>SUMIF('Все сезоны'!$B$2:$B$124,A66,'Все сезоны'!$D$2:$D$124)</f>
        <v>2</v>
      </c>
      <c r="F66" s="9">
        <f>SUMIF('Все сезоны'!$B$2:$B$124,A66,'Все сезоны'!$E$2:$E$124)</f>
        <v>0</v>
      </c>
      <c r="G66" s="9">
        <f>SUMIF('Все сезоны'!$B$2:$B$124,A66,'Все сезоны'!$F$2:$F$124)</f>
        <v>0</v>
      </c>
      <c r="H66" s="9">
        <f t="shared" si="1"/>
        <v>0</v>
      </c>
      <c r="I66" s="11">
        <f>SUMIF('Все сезоны'!$B$2:$B$124,A66,'Все сезоны'!$G$2:$G$124)</f>
        <v>1</v>
      </c>
    </row>
    <row r="67" spans="1:9" ht="21" customHeight="1">
      <c r="A67" s="8" t="s">
        <v>57</v>
      </c>
      <c r="B67" s="9">
        <f>COUNTIF('Все сезоны'!$B$2:$B$124,A67)</f>
        <v>1</v>
      </c>
      <c r="C67" s="10" t="s">
        <v>43</v>
      </c>
      <c r="D67" s="10" t="s">
        <v>43</v>
      </c>
      <c r="E67" s="9">
        <f>SUMIF('Все сезоны'!$B$2:$B$124,A67,'Все сезоны'!$D$2:$D$124)</f>
        <v>2</v>
      </c>
      <c r="F67" s="9">
        <f>SUMIF('Все сезоны'!$B$2:$B$124,A67,'Все сезоны'!$E$2:$E$124)</f>
        <v>0</v>
      </c>
      <c r="G67" s="9">
        <f>SUMIF('Все сезоны'!$B$2:$B$124,A67,'Все сезоны'!$F$2:$F$124)</f>
        <v>0</v>
      </c>
      <c r="H67" s="9">
        <f t="shared" si="1"/>
        <v>0</v>
      </c>
      <c r="I67" s="11">
        <f>SUMIF('Все сезоны'!$B$2:$B$124,A67,'Все сезоны'!$G$2:$G$124)</f>
        <v>0</v>
      </c>
    </row>
    <row r="68" spans="1:9" ht="21" customHeight="1">
      <c r="A68" s="8" t="s">
        <v>100</v>
      </c>
      <c r="B68" s="9">
        <f>COUNTIF('Все сезоны'!$B$2:$B$124,A68)</f>
        <v>1</v>
      </c>
      <c r="C68" s="10" t="s">
        <v>90</v>
      </c>
      <c r="D68" s="10" t="s">
        <v>90</v>
      </c>
      <c r="E68" s="9">
        <f>SUMIF('Все сезоны'!$B$2:$B$124,A68,'Все сезоны'!$D$2:$D$124)</f>
        <v>1</v>
      </c>
      <c r="F68" s="9">
        <f>SUMIF('Все сезоны'!$B$2:$B$124,A68,'Все сезоны'!$E$2:$E$124)</f>
        <v>0</v>
      </c>
      <c r="G68" s="9">
        <f>SUMIF('Все сезоны'!$B$2:$B$124,A68,'Все сезоны'!$F$2:$F$124)</f>
        <v>0</v>
      </c>
      <c r="H68" s="9">
        <f t="shared" si="1"/>
        <v>0</v>
      </c>
      <c r="I68" s="11">
        <f>SUMIF('Все сезоны'!$B$2:$B$124,A68,'Все сезоны'!$G$2:$G$124)</f>
        <v>0</v>
      </c>
    </row>
    <row r="69" spans="1:9" ht="21" customHeight="1">
      <c r="A69" s="8" t="s">
        <v>56</v>
      </c>
      <c r="B69" s="9">
        <f>COUNTIF('Все сезоны'!$B$2:$B$124,A69)</f>
        <v>1</v>
      </c>
      <c r="C69" s="10" t="s">
        <v>43</v>
      </c>
      <c r="D69" s="10" t="s">
        <v>43</v>
      </c>
      <c r="E69" s="9">
        <f>SUMIF('Все сезоны'!$B$2:$B$124,A69,'Все сезоны'!$D$2:$D$124)</f>
        <v>1</v>
      </c>
      <c r="F69" s="9">
        <f>SUMIF('Все сезоны'!$B$2:$B$124,A69,'Все сезоны'!$E$2:$E$124)</f>
        <v>0</v>
      </c>
      <c r="G69" s="9">
        <f>SUMIF('Все сезоны'!$B$2:$B$124,A69,'Все сезоны'!$F$2:$F$124)</f>
        <v>0</v>
      </c>
      <c r="H69" s="9">
        <f t="shared" ref="H69:H100" si="2">F69+G69</f>
        <v>0</v>
      </c>
      <c r="I69" s="11">
        <f>SUMIF('Все сезоны'!$B$2:$B$124,A69,'Все сезоны'!$G$2:$G$124)</f>
        <v>0</v>
      </c>
    </row>
    <row r="70" spans="1:9" ht="21" customHeight="1">
      <c r="A70" s="8" t="s">
        <v>39</v>
      </c>
      <c r="B70" s="9">
        <f>COUNTIF('Все сезоны'!$B$2:$B$124,A70)</f>
        <v>2</v>
      </c>
      <c r="C70" s="10" t="s">
        <v>25</v>
      </c>
      <c r="D70" s="10" t="s">
        <v>43</v>
      </c>
      <c r="E70" s="9">
        <f>SUMIF('Все сезоны'!$B$2:$B$124,A70,'Все сезоны'!$D$2:$D$124)</f>
        <v>0</v>
      </c>
      <c r="F70" s="9">
        <f>SUMIF('Все сезоны'!$B$2:$B$124,A70,'Все сезоны'!$E$2:$E$124)</f>
        <v>0</v>
      </c>
      <c r="G70" s="9">
        <f>SUMIF('Все сезоны'!$B$2:$B$124,A70,'Все сезоны'!$F$2:$F$124)</f>
        <v>0</v>
      </c>
      <c r="H70" s="9">
        <f t="shared" si="2"/>
        <v>0</v>
      </c>
      <c r="I70" s="11">
        <f>SUMIF('Все сезоны'!$B$2:$B$124,A70,'Все сезоны'!$G$2:$G$124)</f>
        <v>0</v>
      </c>
    </row>
    <row r="71" spans="1:9" ht="21" customHeight="1">
      <c r="A71" s="8" t="s">
        <v>81</v>
      </c>
      <c r="B71" s="9">
        <f>COUNTIF('Все сезоны'!$B$2:$B$124,A71)</f>
        <v>1</v>
      </c>
      <c r="C71" s="10" t="s">
        <v>64</v>
      </c>
      <c r="D71" s="10" t="s">
        <v>64</v>
      </c>
      <c r="E71" s="9">
        <f>SUMIF('Все сезоны'!$B$2:$B$124,A71,'Все сезоны'!$D$2:$D$124)</f>
        <v>0</v>
      </c>
      <c r="F71" s="9">
        <f>SUMIF('Все сезоны'!$B$2:$B$124,A71,'Все сезоны'!$E$2:$E$124)</f>
        <v>0</v>
      </c>
      <c r="G71" s="9">
        <f>SUMIF('Все сезоны'!$B$2:$B$124,A71,'Все сезоны'!$F$2:$F$124)</f>
        <v>0</v>
      </c>
      <c r="H71" s="9">
        <f t="shared" si="2"/>
        <v>0</v>
      </c>
      <c r="I71" s="11">
        <f>SUMIF('Все сезоны'!$B$2:$B$124,A71,'Все сезоны'!$G$2:$G$124)</f>
        <v>0</v>
      </c>
    </row>
    <row r="72" spans="1:9" ht="21" customHeight="1">
      <c r="A72" s="8" t="s">
        <v>98</v>
      </c>
      <c r="B72" s="9">
        <f>COUNTIF('Все сезоны'!$B$2:$B$124,A72)</f>
        <v>1</v>
      </c>
      <c r="C72" s="10" t="s">
        <v>90</v>
      </c>
      <c r="D72" s="10" t="s">
        <v>90</v>
      </c>
      <c r="E72" s="9">
        <f>SUMIF('Все сезоны'!$B$2:$B$124,A72,'Все сезоны'!$D$2:$D$124)</f>
        <v>0</v>
      </c>
      <c r="F72" s="9">
        <f>SUMIF('Все сезоны'!$B$2:$B$124,A72,'Все сезоны'!$E$2:$E$124)</f>
        <v>0</v>
      </c>
      <c r="G72" s="9">
        <f>SUMIF('Все сезоны'!$B$2:$B$124,A72,'Все сезоны'!$F$2:$F$124)</f>
        <v>0</v>
      </c>
      <c r="H72" s="9">
        <f t="shared" si="2"/>
        <v>0</v>
      </c>
      <c r="I72" s="11">
        <f>SUMIF('Все сезоны'!$B$2:$B$124,A72,'Все сезоны'!$G$2:$G$124)</f>
        <v>0</v>
      </c>
    </row>
    <row r="73" spans="1:9" ht="21" customHeight="1">
      <c r="A73" s="8" t="s">
        <v>59</v>
      </c>
      <c r="B73" s="9">
        <f>COUNTIF('Все сезоны'!$B$2:$B$124,A73)</f>
        <v>1</v>
      </c>
      <c r="C73" s="10" t="s">
        <v>43</v>
      </c>
      <c r="D73" s="10" t="s">
        <v>43</v>
      </c>
      <c r="E73" s="9">
        <f>SUMIF('Все сезоны'!$B$2:$B$124,A73,'Все сезоны'!$D$2:$D$124)</f>
        <v>0</v>
      </c>
      <c r="F73" s="9">
        <f>SUMIF('Все сезоны'!$B$2:$B$124,A73,'Все сезоны'!$E$2:$E$124)</f>
        <v>0</v>
      </c>
      <c r="G73" s="9">
        <f>SUMIF('Все сезоны'!$B$2:$B$124,A73,'Все сезоны'!$F$2:$F$124)</f>
        <v>0</v>
      </c>
      <c r="H73" s="9">
        <f t="shared" si="2"/>
        <v>0</v>
      </c>
      <c r="I73" s="11">
        <f>SUMIF('Все сезоны'!$B$2:$B$124,A73,'Все сезоны'!$G$2:$G$124)</f>
        <v>0</v>
      </c>
    </row>
    <row r="74" spans="1:9" ht="21" customHeight="1">
      <c r="A74" s="8" t="s">
        <v>40</v>
      </c>
      <c r="B74" s="9">
        <f>COUNTIF('Все сезоны'!$B$2:$B$124,A74)</f>
        <v>2</v>
      </c>
      <c r="C74" s="10" t="s">
        <v>25</v>
      </c>
      <c r="D74" s="10" t="s">
        <v>43</v>
      </c>
      <c r="E74" s="9">
        <f>SUMIF('Все сезоны'!$B$2:$B$124,A74,'Все сезоны'!$D$2:$D$124)</f>
        <v>0</v>
      </c>
      <c r="F74" s="9">
        <f>SUMIF('Все сезоны'!$B$2:$B$124,A74,'Все сезоны'!$E$2:$E$124)</f>
        <v>0</v>
      </c>
      <c r="G74" s="9">
        <f>SUMIF('Все сезоны'!$B$2:$B$124,A74,'Все сезоны'!$F$2:$F$124)</f>
        <v>0</v>
      </c>
      <c r="H74" s="9">
        <f t="shared" si="2"/>
        <v>0</v>
      </c>
      <c r="I74" s="11">
        <f>SUMIF('Все сезоны'!$B$2:$B$124,A74,'Все сезоны'!$G$2:$G$124)</f>
        <v>0</v>
      </c>
    </row>
    <row r="75" spans="1:9" ht="21" customHeight="1">
      <c r="A75" s="8" t="s">
        <v>58</v>
      </c>
      <c r="B75" s="9">
        <f>COUNTIF('Все сезоны'!$B$2:$B$124,A75)</f>
        <v>1</v>
      </c>
      <c r="C75" s="10" t="s">
        <v>43</v>
      </c>
      <c r="D75" s="10" t="s">
        <v>43</v>
      </c>
      <c r="E75" s="9">
        <f>SUMIF('Все сезоны'!$B$2:$B$124,A75,'Все сезоны'!$D$2:$D$124)</f>
        <v>0</v>
      </c>
      <c r="F75" s="9">
        <f>SUMIF('Все сезоны'!$B$2:$B$124,A75,'Все сезоны'!$E$2:$E$124)</f>
        <v>0</v>
      </c>
      <c r="G75" s="9">
        <f>SUMIF('Все сезоны'!$B$2:$B$124,A75,'Все сезоны'!$F$2:$F$124)</f>
        <v>0</v>
      </c>
      <c r="H75" s="9">
        <f t="shared" si="2"/>
        <v>0</v>
      </c>
      <c r="I75" s="11">
        <f>SUMIF('Все сезоны'!$B$2:$B$124,A75,'Все сезоны'!$G$2:$G$124)</f>
        <v>0</v>
      </c>
    </row>
    <row r="76" spans="1:9" ht="21" customHeight="1">
      <c r="A76" s="8" t="s">
        <v>84</v>
      </c>
      <c r="B76" s="9">
        <f>COUNTIF('Все сезоны'!$B$2:$B$124,A76)</f>
        <v>1</v>
      </c>
      <c r="C76" s="10" t="s">
        <v>64</v>
      </c>
      <c r="D76" s="10" t="s">
        <v>64</v>
      </c>
      <c r="E76" s="9">
        <f>SUMIF('Все сезоны'!$B$2:$B$124,A76,'Все сезоны'!$D$2:$D$124)</f>
        <v>0</v>
      </c>
      <c r="F76" s="9">
        <f>SUMIF('Все сезоны'!$B$2:$B$124,A76,'Все сезоны'!$E$2:$E$124)</f>
        <v>0</v>
      </c>
      <c r="G76" s="9">
        <f>SUMIF('Все сезоны'!$B$2:$B$124,A76,'Все сезоны'!$F$2:$F$124)</f>
        <v>0</v>
      </c>
      <c r="H76" s="9">
        <f t="shared" si="2"/>
        <v>0</v>
      </c>
      <c r="I76" s="11">
        <f>SUMIF('Все сезоны'!$B$2:$B$124,A76,'Все сезоны'!$G$2:$G$124)</f>
        <v>0</v>
      </c>
    </row>
    <row r="77" spans="1:9" ht="21" customHeight="1">
      <c r="A77" s="8" t="s">
        <v>54</v>
      </c>
      <c r="B77" s="9">
        <f>COUNTIF('Все сезоны'!$B$2:$B$124,A77)</f>
        <v>1</v>
      </c>
      <c r="C77" s="10" t="s">
        <v>43</v>
      </c>
      <c r="D77" s="10" t="s">
        <v>43</v>
      </c>
      <c r="E77" s="9">
        <f>SUMIF('Все сезоны'!$B$2:$B$124,A77,'Все сезоны'!$D$2:$D$124)</f>
        <v>0</v>
      </c>
      <c r="F77" s="9">
        <f>SUMIF('Все сезоны'!$B$2:$B$124,A77,'Все сезоны'!$E$2:$E$124)</f>
        <v>0</v>
      </c>
      <c r="G77" s="9">
        <f>SUMIF('Все сезоны'!$B$2:$B$124,A77,'Все сезоны'!$F$2:$F$124)</f>
        <v>0</v>
      </c>
      <c r="H77" s="9">
        <f t="shared" si="2"/>
        <v>0</v>
      </c>
      <c r="I77" s="11">
        <f>SUMIF('Все сезоны'!$B$2:$B$124,A77,'Все сезоны'!$G$2:$G$124)</f>
        <v>0</v>
      </c>
    </row>
    <row r="78" spans="1:9" ht="21" customHeight="1">
      <c r="A78" s="8" t="s">
        <v>53</v>
      </c>
      <c r="B78" s="9">
        <f>COUNTIF('Все сезоны'!$B$2:$B$124,A78)</f>
        <v>1</v>
      </c>
      <c r="C78" s="10" t="s">
        <v>43</v>
      </c>
      <c r="D78" s="10" t="s">
        <v>43</v>
      </c>
      <c r="E78" s="9">
        <f>SUMIF('Все сезоны'!$B$2:$B$124,A78,'Все сезоны'!$D$2:$D$124)</f>
        <v>0</v>
      </c>
      <c r="F78" s="9">
        <f>SUMIF('Все сезоны'!$B$2:$B$124,A78,'Все сезоны'!$E$2:$E$124)</f>
        <v>0</v>
      </c>
      <c r="G78" s="9">
        <f>SUMIF('Все сезоны'!$B$2:$B$124,A78,'Все сезоны'!$F$2:$F$124)</f>
        <v>0</v>
      </c>
      <c r="H78" s="9">
        <f t="shared" si="2"/>
        <v>0</v>
      </c>
      <c r="I78" s="11">
        <f>SUMIF('Все сезоны'!$B$2:$B$124,A78,'Все сезоны'!$G$2:$G$124)</f>
        <v>0</v>
      </c>
    </row>
    <row r="79" spans="1:9" ht="21" customHeight="1">
      <c r="A79" s="8" t="s">
        <v>55</v>
      </c>
      <c r="B79" s="9">
        <f>COUNTIF('Все сезоны'!$B$2:$B$124,A79)</f>
        <v>1</v>
      </c>
      <c r="C79" s="10" t="s">
        <v>43</v>
      </c>
      <c r="D79" s="10" t="s">
        <v>43</v>
      </c>
      <c r="E79" s="9">
        <f>SUMIF('Все сезоны'!$B$2:$B$124,A79,'Все сезоны'!$D$2:$D$124)</f>
        <v>0</v>
      </c>
      <c r="F79" s="9">
        <f>SUMIF('Все сезоны'!$B$2:$B$124,A79,'Все сезоны'!$E$2:$E$124)</f>
        <v>0</v>
      </c>
      <c r="G79" s="9">
        <f>SUMIF('Все сезоны'!$B$2:$B$124,A79,'Все сезоны'!$F$2:$F$124)</f>
        <v>0</v>
      </c>
      <c r="H79" s="9">
        <f t="shared" si="2"/>
        <v>0</v>
      </c>
      <c r="I79" s="11">
        <f>SUMIF('Все сезоны'!$B$2:$B$124,A79,'Все сезоны'!$G$2:$G$124)</f>
        <v>0</v>
      </c>
    </row>
    <row r="80" spans="1:9" ht="21" customHeight="1">
      <c r="A80" s="8" t="s">
        <v>83</v>
      </c>
      <c r="B80" s="9">
        <f>COUNTIF('Все сезоны'!$B$2:$B$124,A80)</f>
        <v>1</v>
      </c>
      <c r="C80" s="10" t="s">
        <v>64</v>
      </c>
      <c r="D80" s="10" t="s">
        <v>64</v>
      </c>
      <c r="E80" s="9">
        <f>SUMIF('Все сезоны'!$B$2:$B$124,A80,'Все сезоны'!$D$2:$D$124)</f>
        <v>0</v>
      </c>
      <c r="F80" s="9">
        <f>SUMIF('Все сезоны'!$B$2:$B$124,A80,'Все сезоны'!$E$2:$E$124)</f>
        <v>0</v>
      </c>
      <c r="G80" s="9">
        <f>SUMIF('Все сезоны'!$B$2:$B$124,A80,'Все сезоны'!$F$2:$F$124)</f>
        <v>0</v>
      </c>
      <c r="H80" s="9">
        <f t="shared" si="2"/>
        <v>0</v>
      </c>
      <c r="I80" s="11">
        <f>SUMIF('Все сезоны'!$B$2:$B$124,A80,'Все сезоны'!$G$2:$G$124)</f>
        <v>0</v>
      </c>
    </row>
    <row r="81" spans="1:9" ht="21" customHeight="1">
      <c r="A81" s="8" t="s">
        <v>36</v>
      </c>
      <c r="B81" s="9">
        <f>COUNTIF('Все сезоны'!$B$2:$B$124,A81)</f>
        <v>2</v>
      </c>
      <c r="C81" s="10" t="s">
        <v>25</v>
      </c>
      <c r="D81" s="10" t="s">
        <v>90</v>
      </c>
      <c r="E81" s="9">
        <f>SUMIF('Все сезоны'!$B$2:$B$124,A81,'Все сезоны'!$D$2:$D$124)</f>
        <v>0</v>
      </c>
      <c r="F81" s="9">
        <f>SUMIF('Все сезоны'!$B$2:$B$124,A81,'Все сезоны'!$E$2:$E$124)</f>
        <v>0</v>
      </c>
      <c r="G81" s="9">
        <f>SUMIF('Все сезоны'!$B$2:$B$124,A81,'Все сезоны'!$F$2:$F$124)</f>
        <v>0</v>
      </c>
      <c r="H81" s="9">
        <f t="shared" si="2"/>
        <v>0</v>
      </c>
      <c r="I81" s="11">
        <f>SUMIF('Все сезоны'!$B$2:$B$124,A81,'Все сезоны'!$G$2:$G$124)</f>
        <v>0</v>
      </c>
    </row>
    <row r="82" spans="1:9" ht="21" customHeight="1">
      <c r="A82" s="8" t="s">
        <v>37</v>
      </c>
      <c r="B82" s="9">
        <f>COUNTIF('Все сезоны'!$B$2:$B$124,A82)</f>
        <v>1</v>
      </c>
      <c r="C82" s="10" t="s">
        <v>25</v>
      </c>
      <c r="D82" s="10" t="s">
        <v>25</v>
      </c>
      <c r="E82" s="9">
        <f>SUMIF('Все сезоны'!$B$2:$B$124,A82,'Все сезоны'!$D$2:$D$124)</f>
        <v>0</v>
      </c>
      <c r="F82" s="9">
        <f>SUMIF('Все сезоны'!$B$2:$B$124,A82,'Все сезоны'!$E$2:$E$124)</f>
        <v>0</v>
      </c>
      <c r="G82" s="9">
        <f>SUMIF('Все сезоны'!$B$2:$B$124,A82,'Все сезоны'!$F$2:$F$124)</f>
        <v>0</v>
      </c>
      <c r="H82" s="9">
        <f t="shared" si="2"/>
        <v>0</v>
      </c>
      <c r="I82" s="11">
        <f>SUMIF('Все сезоны'!$B$2:$B$124,A82,'Все сезоны'!$G$2:$G$124)</f>
        <v>0</v>
      </c>
    </row>
    <row r="83" spans="1:9" ht="21" customHeight="1">
      <c r="A83" s="8" t="s">
        <v>38</v>
      </c>
      <c r="B83" s="9">
        <f>COUNTIF('Все сезоны'!$B$2:$B$124,A83)</f>
        <v>2</v>
      </c>
      <c r="C83" s="10" t="s">
        <v>25</v>
      </c>
      <c r="D83" s="10" t="s">
        <v>90</v>
      </c>
      <c r="E83" s="9">
        <f>SUMIF('Все сезоны'!$B$2:$B$124,A83,'Все сезоны'!$D$2:$D$124)</f>
        <v>0</v>
      </c>
      <c r="F83" s="9">
        <f>SUMIF('Все сезоны'!$B$2:$B$124,A83,'Все сезоны'!$E$2:$E$124)</f>
        <v>0</v>
      </c>
      <c r="G83" s="9">
        <f>SUMIF('Все сезоны'!$B$2:$B$124,A83,'Все сезоны'!$F$2:$F$124)</f>
        <v>0</v>
      </c>
      <c r="H83" s="9">
        <f t="shared" si="2"/>
        <v>0</v>
      </c>
      <c r="I83" s="11">
        <f>SUMIF('Все сезоны'!$B$2:$B$124,A83,'Все сезоны'!$G$2:$G$124)</f>
        <v>0</v>
      </c>
    </row>
    <row r="84" spans="1:9" ht="21" customHeight="1">
      <c r="A84" s="8" t="s">
        <v>77</v>
      </c>
      <c r="B84" s="9">
        <f>COUNTIF('Все сезоны'!$B$2:$B$124,A84)</f>
        <v>1</v>
      </c>
      <c r="C84" s="10" t="s">
        <v>64</v>
      </c>
      <c r="D84" s="10" t="s">
        <v>64</v>
      </c>
      <c r="E84" s="9">
        <f>SUMIF('Все сезоны'!$B$2:$B$124,A84,'Все сезоны'!$D$2:$D$124)</f>
        <v>0</v>
      </c>
      <c r="F84" s="9">
        <f>SUMIF('Все сезоны'!$B$2:$B$124,A84,'Все сезоны'!$E$2:$E$124)</f>
        <v>0</v>
      </c>
      <c r="G84" s="9">
        <f>SUMIF('Все сезоны'!$B$2:$B$124,A84,'Все сезоны'!$F$2:$F$124)</f>
        <v>0</v>
      </c>
      <c r="H84" s="9">
        <f t="shared" si="2"/>
        <v>0</v>
      </c>
      <c r="I84" s="11">
        <f>SUMIF('Все сезоны'!$B$2:$B$124,A84,'Все сезоны'!$G$2:$G$124)</f>
        <v>0</v>
      </c>
    </row>
    <row r="85" spans="1:9" ht="21" customHeight="1">
      <c r="A85" s="8" t="s">
        <v>99</v>
      </c>
      <c r="B85" s="9">
        <f>COUNTIF('Все сезоны'!$B$2:$B$124,A85)</f>
        <v>1</v>
      </c>
      <c r="C85" s="10" t="s">
        <v>90</v>
      </c>
      <c r="D85" s="10" t="s">
        <v>90</v>
      </c>
      <c r="E85" s="9">
        <f>SUMIF('Все сезоны'!$B$2:$B$124,A85,'Все сезоны'!$D$2:$D$124)</f>
        <v>0</v>
      </c>
      <c r="F85" s="9">
        <f>SUMIF('Все сезоны'!$B$2:$B$124,A85,'Все сезоны'!$E$2:$E$124)</f>
        <v>0</v>
      </c>
      <c r="G85" s="9">
        <f>SUMIF('Все сезоны'!$B$2:$B$124,A85,'Все сезоны'!$F$2:$F$124)</f>
        <v>0</v>
      </c>
      <c r="H85" s="9">
        <f t="shared" si="2"/>
        <v>0</v>
      </c>
      <c r="I85" s="11">
        <f>SUMIF('Все сезоны'!$B$2:$B$124,A85,'Все сезоны'!$G$2:$G$124)</f>
        <v>0</v>
      </c>
    </row>
    <row r="86" spans="1:9" ht="21" customHeight="1" thickBot="1">
      <c r="A86" s="12" t="s">
        <v>82</v>
      </c>
      <c r="B86" s="13">
        <f>COUNTIF('Все сезоны'!$B$2:$B$124,A86)</f>
        <v>1</v>
      </c>
      <c r="C86" s="14" t="s">
        <v>64</v>
      </c>
      <c r="D86" s="14" t="s">
        <v>64</v>
      </c>
      <c r="E86" s="13">
        <f>SUMIF('Все сезоны'!$B$2:$B$124,A86,'Все сезоны'!$D$2:$D$124)</f>
        <v>0</v>
      </c>
      <c r="F86" s="13">
        <f>SUMIF('Все сезоны'!$B$2:$B$124,A86,'Все сезоны'!$E$2:$E$124)</f>
        <v>0</v>
      </c>
      <c r="G86" s="13">
        <f>SUMIF('Все сезоны'!$B$2:$B$124,A86,'Все сезоны'!$F$2:$F$124)</f>
        <v>0</v>
      </c>
      <c r="H86" s="13">
        <f t="shared" si="2"/>
        <v>0</v>
      </c>
      <c r="I86" s="15">
        <f>SUMIF('Все сезоны'!$B$2:$B$124,A86,'Все сезоны'!$G$2:$G$124)</f>
        <v>0</v>
      </c>
    </row>
    <row r="88" spans="1:9" ht="22" customHeight="1">
      <c r="A88" s="4" t="s">
        <v>122</v>
      </c>
      <c r="B88" s="4"/>
      <c r="C88" s="4"/>
      <c r="D88" s="4"/>
      <c r="E88" s="4"/>
      <c r="F88" s="4"/>
      <c r="G88" s="4"/>
      <c r="H88" s="4"/>
      <c r="I88" s="4"/>
    </row>
    <row r="89" spans="1:9" ht="22" customHeight="1">
      <c r="A89" s="4" t="s">
        <v>123</v>
      </c>
      <c r="B89" s="4"/>
      <c r="C89" s="4"/>
      <c r="D89" s="4"/>
      <c r="E89" s="4"/>
      <c r="F89" s="4"/>
      <c r="G89" s="4"/>
      <c r="H89" s="4"/>
      <c r="I89" s="4"/>
    </row>
  </sheetData>
  <mergeCells count="4">
    <mergeCell ref="A1:I1"/>
    <mergeCell ref="A2:I2"/>
    <mergeCell ref="A88:I88"/>
    <mergeCell ref="A89:I89"/>
  </mergeCells>
  <conditionalFormatting sqref="F5:F86">
    <cfRule type="dataBar" priority="1">
      <dataBar>
        <cfvo type="min"/>
        <cfvo type="max"/>
        <color rgb="FF1D72D6"/>
      </dataBar>
    </cfRule>
    <cfRule type="dataBar" priority="3">
      <dataBar>
        <cfvo type="min"/>
        <cfvo type="max"/>
        <color rgb="FF1D72D6"/>
      </dataBar>
      <extLst>
        <ext xmlns:x14="http://schemas.microsoft.com/office/spreadsheetml/2009/9/main" uri="{B025F937-C7B1-47D3-B67F-A62EFF666E3E}">
          <x14:id>{7EAEC5D3-9100-6FB4-4971-933AE0872298}</x14:id>
        </ext>
      </extLst>
    </cfRule>
  </conditionalFormatting>
  <conditionalFormatting sqref="G5:G86">
    <cfRule type="dataBar" priority="2">
      <dataBar>
        <cfvo type="min"/>
        <cfvo type="max"/>
        <color rgb="FF36A38B"/>
      </dataBar>
    </cfRule>
    <cfRule type="dataBar" priority="4">
      <dataBar>
        <cfvo type="min"/>
        <cfvo type="max"/>
        <color rgb="FF36A38B"/>
      </dataBar>
      <extLst>
        <ext xmlns:x14="http://schemas.microsoft.com/office/spreadsheetml/2009/9/main" uri="{B025F937-C7B1-47D3-B67F-A62EFF666E3E}">
          <x14:id>{E65158FD-CF81-E354-B366-02668EE6F78D}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AEC5D3-9100-6FB4-4971-933AE0872298}">
            <x14:dataBar>
              <x14:cfvo type="min"/>
              <x14:cfvo type="max"/>
              <x14:negativeFillColor auto="1"/>
              <x14:axisColor auto="1"/>
            </x14:dataBar>
          </x14:cfRule>
          <xm:sqref>F5:F86</xm:sqref>
        </x14:conditionalFormatting>
        <x14:conditionalFormatting xmlns:xm="http://schemas.microsoft.com/office/excel/2006/main">
          <x14:cfRule type="dataBar" id="{E65158FD-CF81-E354-B366-02668EE6F78D}">
            <x14:dataBar>
              <x14:cfvo type="min"/>
              <x14:cfvo type="max"/>
              <x14:negativeFillColor auto="1"/>
              <x14:axisColor auto="1"/>
            </x14:dataBar>
          </x14:cfRule>
          <xm:sqref>G5:G86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2023-24</vt:lpstr>
      <vt:lpstr>2024-25</vt:lpstr>
      <vt:lpstr>2025-26</vt:lpstr>
      <vt:lpstr>2026-27</vt:lpstr>
      <vt:lpstr>2027-28</vt:lpstr>
      <vt:lpstr>Все сезоны</vt:lpstr>
      <vt:lpstr>Примечания</vt:lpstr>
      <vt:lpstr>За всю карьеру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Erika Shimin</cp:lastModifiedBy>
  <dcterms:modified xsi:type="dcterms:W3CDTF">2026-10-28T12:09:28Z</dcterms:modified>
</cp:coreProperties>
</file>